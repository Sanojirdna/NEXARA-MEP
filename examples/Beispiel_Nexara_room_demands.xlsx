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jonas_weiss_stud_hslu_ch/Documents/BAT/production/Grundlagen IFC/260410/"/>
    </mc:Choice>
  </mc:AlternateContent>
  <xr:revisionPtr revIDLastSave="20" documentId="11_8C5CBA2F57DD8329C2548CC51645F6B9F2BE34A5" xr6:coauthVersionLast="47" xr6:coauthVersionMax="47" xr10:uidLastSave="{E96CC63C-E2F8-4777-B9FE-4DCE3E19E129}"/>
  <bookViews>
    <workbookView xWindow="-98" yWindow="-98" windowWidth="19396" windowHeight="11475" xr2:uid="{00000000-000D-0000-FFFF-FFFF00000000}"/>
  </bookViews>
  <sheets>
    <sheet name="Demands" sheetId="1" r:id="rId1"/>
    <sheet name="Rooms" sheetId="2" r:id="rId2"/>
    <sheet name="Assumptions" sheetId="3" r:id="rId3"/>
  </sheets>
  <definedNames>
    <definedName name="_xlnm._FilterDatabase" localSheetId="2" hidden="1">Assumptions!$A$1:$G$15</definedName>
    <definedName name="_xlnm._FilterDatabase" localSheetId="0" hidden="1">Demands!$C$1:$C$141</definedName>
    <definedName name="_xlnm._FilterDatabase" localSheetId="1" hidden="1">Rooms!$A$1:$S$108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8" i="2" l="1"/>
  <c r="Q108" i="2"/>
  <c r="P108" i="2"/>
  <c r="R107" i="2"/>
  <c r="Q107" i="2"/>
  <c r="P107" i="2"/>
  <c r="R106" i="2"/>
  <c r="Q106" i="2"/>
  <c r="P106" i="2"/>
  <c r="R105" i="2"/>
  <c r="Q105" i="2"/>
  <c r="P105" i="2"/>
  <c r="R104" i="2"/>
  <c r="Q104" i="2"/>
  <c r="P104" i="2"/>
  <c r="R103" i="2"/>
  <c r="Q103" i="2"/>
  <c r="F140" i="1" s="1"/>
  <c r="P103" i="2"/>
  <c r="R102" i="2"/>
  <c r="Q102" i="2"/>
  <c r="F137" i="1" s="1"/>
  <c r="P102" i="2"/>
  <c r="R101" i="2"/>
  <c r="Q101" i="2"/>
  <c r="P101" i="2"/>
  <c r="R100" i="2"/>
  <c r="Q100" i="2"/>
  <c r="P100" i="2"/>
  <c r="R99" i="2"/>
  <c r="Q99" i="2"/>
  <c r="P99" i="2"/>
  <c r="R98" i="2"/>
  <c r="Q98" i="2"/>
  <c r="P98" i="2"/>
  <c r="R97" i="2"/>
  <c r="Q97" i="2"/>
  <c r="P97" i="2"/>
  <c r="R96" i="2"/>
  <c r="Q96" i="2"/>
  <c r="P96" i="2"/>
  <c r="R95" i="2"/>
  <c r="Q95" i="2"/>
  <c r="P95" i="2"/>
  <c r="R94" i="2"/>
  <c r="Q94" i="2"/>
  <c r="F133" i="1" s="1"/>
  <c r="P94" i="2"/>
  <c r="F132" i="1" s="1"/>
  <c r="R93" i="2"/>
  <c r="Q93" i="2"/>
  <c r="P93" i="2"/>
  <c r="R92" i="2"/>
  <c r="Q92" i="2"/>
  <c r="P92" i="2"/>
  <c r="R91" i="2"/>
  <c r="Q91" i="2"/>
  <c r="P91" i="2"/>
  <c r="R90" i="2"/>
  <c r="Q90" i="2"/>
  <c r="F125" i="1" s="1"/>
  <c r="P90" i="2"/>
  <c r="R89" i="2"/>
  <c r="Q89" i="2"/>
  <c r="F123" i="1" s="1"/>
  <c r="P89" i="2"/>
  <c r="F122" i="1" s="1"/>
  <c r="R88" i="2"/>
  <c r="Q88" i="2"/>
  <c r="F121" i="1" s="1"/>
  <c r="P88" i="2"/>
  <c r="R87" i="2"/>
  <c r="Q87" i="2"/>
  <c r="F119" i="1" s="1"/>
  <c r="P87" i="2"/>
  <c r="R86" i="2"/>
  <c r="Q86" i="2"/>
  <c r="P86" i="2"/>
  <c r="R85" i="2"/>
  <c r="Q85" i="2"/>
  <c r="P85" i="2"/>
  <c r="F114" i="1" s="1"/>
  <c r="R84" i="2"/>
  <c r="Q84" i="2"/>
  <c r="P84" i="2"/>
  <c r="F112" i="1" s="1"/>
  <c r="R83" i="2"/>
  <c r="Q83" i="2"/>
  <c r="F111" i="1" s="1"/>
  <c r="P83" i="2"/>
  <c r="F110" i="1" s="1"/>
  <c r="R82" i="2"/>
  <c r="Q82" i="2"/>
  <c r="P82" i="2"/>
  <c r="F108" i="1" s="1"/>
  <c r="R81" i="2"/>
  <c r="Q81" i="2"/>
  <c r="P81" i="2"/>
  <c r="R80" i="2"/>
  <c r="Q80" i="2"/>
  <c r="P80" i="2"/>
  <c r="R79" i="2"/>
  <c r="Q79" i="2"/>
  <c r="P79" i="2"/>
  <c r="R78" i="2"/>
  <c r="Q78" i="2"/>
  <c r="P78" i="2"/>
  <c r="R77" i="2"/>
  <c r="Q77" i="2"/>
  <c r="P77" i="2"/>
  <c r="R76" i="2"/>
  <c r="Q76" i="2"/>
  <c r="P76" i="2"/>
  <c r="R75" i="2"/>
  <c r="Q75" i="2"/>
  <c r="P75" i="2"/>
  <c r="R74" i="2"/>
  <c r="Q74" i="2"/>
  <c r="P74" i="2"/>
  <c r="R73" i="2"/>
  <c r="Q73" i="2"/>
  <c r="F98" i="1" s="1"/>
  <c r="P73" i="2"/>
  <c r="F97" i="1" s="1"/>
  <c r="R72" i="2"/>
  <c r="F96" i="1" s="1"/>
  <c r="Q72" i="2"/>
  <c r="F95" i="1" s="1"/>
  <c r="P72" i="2"/>
  <c r="R71" i="2"/>
  <c r="Q71" i="2"/>
  <c r="P71" i="2"/>
  <c r="R70" i="2"/>
  <c r="Q70" i="2"/>
  <c r="P70" i="2"/>
  <c r="R69" i="2"/>
  <c r="Q69" i="2"/>
  <c r="P69" i="2"/>
  <c r="R68" i="2"/>
  <c r="Q68" i="2"/>
  <c r="P68" i="2"/>
  <c r="R67" i="2"/>
  <c r="Q67" i="2"/>
  <c r="P67" i="2"/>
  <c r="R66" i="2"/>
  <c r="Q66" i="2"/>
  <c r="P66" i="2"/>
  <c r="R65" i="2"/>
  <c r="Q65" i="2"/>
  <c r="P65" i="2"/>
  <c r="R64" i="2"/>
  <c r="Q64" i="2"/>
  <c r="P64" i="2"/>
  <c r="R63" i="2"/>
  <c r="Q63" i="2"/>
  <c r="P63" i="2"/>
  <c r="R62" i="2"/>
  <c r="Q62" i="2"/>
  <c r="F87" i="1" s="1"/>
  <c r="P62" i="2"/>
  <c r="F86" i="1" s="1"/>
  <c r="R61" i="2"/>
  <c r="Q61" i="2"/>
  <c r="P61" i="2"/>
  <c r="R60" i="2"/>
  <c r="Q60" i="2"/>
  <c r="P60" i="2"/>
  <c r="R59" i="2"/>
  <c r="Q59" i="2"/>
  <c r="P59" i="2"/>
  <c r="R58" i="2"/>
  <c r="Q58" i="2"/>
  <c r="F79" i="1" s="1"/>
  <c r="P58" i="2"/>
  <c r="R57" i="2"/>
  <c r="Q57" i="2"/>
  <c r="F77" i="1" s="1"/>
  <c r="P57" i="2"/>
  <c r="F76" i="1" s="1"/>
  <c r="R56" i="2"/>
  <c r="Q56" i="2"/>
  <c r="F75" i="1" s="1"/>
  <c r="P56" i="2"/>
  <c r="R55" i="2"/>
  <c r="Q55" i="2"/>
  <c r="F73" i="1" s="1"/>
  <c r="P55" i="2"/>
  <c r="R54" i="2"/>
  <c r="Q54" i="2"/>
  <c r="P54" i="2"/>
  <c r="R53" i="2"/>
  <c r="Q53" i="2"/>
  <c r="P53" i="2"/>
  <c r="F68" i="1" s="1"/>
  <c r="R52" i="2"/>
  <c r="Q52" i="2"/>
  <c r="P52" i="2"/>
  <c r="F66" i="1" s="1"/>
  <c r="R51" i="2"/>
  <c r="F65" i="1" s="1"/>
  <c r="Q51" i="2"/>
  <c r="F64" i="1" s="1"/>
  <c r="P51" i="2"/>
  <c r="F63" i="1" s="1"/>
  <c r="R50" i="2"/>
  <c r="Q50" i="2"/>
  <c r="P50" i="2"/>
  <c r="F60" i="1" s="1"/>
  <c r="R49" i="2"/>
  <c r="Q49" i="2"/>
  <c r="P49" i="2"/>
  <c r="R48" i="2"/>
  <c r="Q48" i="2"/>
  <c r="P48" i="2"/>
  <c r="R47" i="2"/>
  <c r="Q47" i="2"/>
  <c r="P47" i="2"/>
  <c r="R46" i="2"/>
  <c r="Q46" i="2"/>
  <c r="P46" i="2"/>
  <c r="R45" i="2"/>
  <c r="Q45" i="2"/>
  <c r="P45" i="2"/>
  <c r="R44" i="2"/>
  <c r="Q44" i="2"/>
  <c r="P44" i="2"/>
  <c r="R43" i="2"/>
  <c r="Q43" i="2"/>
  <c r="P43" i="2"/>
  <c r="R42" i="2"/>
  <c r="Q42" i="2"/>
  <c r="F53" i="1" s="1"/>
  <c r="P42" i="2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F51" i="1" s="1"/>
  <c r="P35" i="2"/>
  <c r="F50" i="1" s="1"/>
  <c r="R34" i="2"/>
  <c r="Q34" i="2"/>
  <c r="P34" i="2"/>
  <c r="F48" i="1" s="1"/>
  <c r="R33" i="2"/>
  <c r="Q33" i="2"/>
  <c r="P33" i="2"/>
  <c r="R32" i="2"/>
  <c r="Q32" i="2"/>
  <c r="P32" i="2"/>
  <c r="R31" i="2"/>
  <c r="Q31" i="2"/>
  <c r="P31" i="2"/>
  <c r="R30" i="2"/>
  <c r="Q30" i="2"/>
  <c r="F41" i="1" s="1"/>
  <c r="P30" i="2"/>
  <c r="F40" i="1" s="1"/>
  <c r="R29" i="2"/>
  <c r="Q29" i="2"/>
  <c r="P29" i="2"/>
  <c r="R28" i="2"/>
  <c r="Q28" i="2"/>
  <c r="P28" i="2"/>
  <c r="R27" i="2"/>
  <c r="Q27" i="2"/>
  <c r="P27" i="2"/>
  <c r="R26" i="2"/>
  <c r="Q26" i="2"/>
  <c r="F33" i="1" s="1"/>
  <c r="P26" i="2"/>
  <c r="R25" i="2"/>
  <c r="Q25" i="2"/>
  <c r="F31" i="1" s="1"/>
  <c r="P25" i="2"/>
  <c r="F30" i="1" s="1"/>
  <c r="R24" i="2"/>
  <c r="Q24" i="2"/>
  <c r="F29" i="1" s="1"/>
  <c r="P24" i="2"/>
  <c r="R23" i="2"/>
  <c r="Q23" i="2"/>
  <c r="F27" i="1" s="1"/>
  <c r="P23" i="2"/>
  <c r="R22" i="2"/>
  <c r="Q22" i="2"/>
  <c r="P22" i="2"/>
  <c r="R21" i="2"/>
  <c r="Q21" i="2"/>
  <c r="P21" i="2"/>
  <c r="F21" i="1" s="1"/>
  <c r="R20" i="2"/>
  <c r="Q20" i="2"/>
  <c r="P20" i="2"/>
  <c r="F18" i="1" s="1"/>
  <c r="R19" i="2"/>
  <c r="Q19" i="2"/>
  <c r="F17" i="1" s="1"/>
  <c r="P19" i="2"/>
  <c r="F16" i="1" s="1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F15" i="1" s="1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F12" i="1" s="1"/>
  <c r="P8" i="2"/>
  <c r="R7" i="2"/>
  <c r="Q7" i="2"/>
  <c r="P7" i="2"/>
  <c r="R6" i="2"/>
  <c r="Q6" i="2"/>
  <c r="P6" i="2"/>
  <c r="R5" i="2"/>
  <c r="Q5" i="2"/>
  <c r="P5" i="2"/>
  <c r="F6" i="1" s="1"/>
  <c r="R4" i="2"/>
  <c r="Q4" i="2"/>
  <c r="P4" i="2"/>
  <c r="R3" i="2"/>
  <c r="Q3" i="2"/>
  <c r="F5" i="1" s="1"/>
  <c r="P3" i="2"/>
  <c r="F4" i="1" s="1"/>
  <c r="R2" i="2"/>
  <c r="Q2" i="2"/>
  <c r="P2" i="2"/>
  <c r="F2" i="1" s="1"/>
  <c r="F141" i="1"/>
  <c r="B141" i="1"/>
  <c r="A141" i="1"/>
  <c r="B140" i="1"/>
  <c r="A140" i="1"/>
  <c r="F139" i="1"/>
  <c r="B139" i="1"/>
  <c r="A139" i="1"/>
  <c r="F138" i="1"/>
  <c r="B138" i="1"/>
  <c r="A138" i="1"/>
  <c r="B137" i="1"/>
  <c r="A137" i="1"/>
  <c r="F136" i="1"/>
  <c r="B136" i="1"/>
  <c r="A136" i="1"/>
  <c r="F135" i="1"/>
  <c r="B135" i="1"/>
  <c r="A135" i="1"/>
  <c r="F134" i="1"/>
  <c r="B134" i="1"/>
  <c r="A134" i="1"/>
  <c r="B133" i="1"/>
  <c r="A133" i="1"/>
  <c r="B132" i="1"/>
  <c r="A132" i="1"/>
  <c r="F131" i="1"/>
  <c r="B131" i="1"/>
  <c r="A131" i="1"/>
  <c r="F130" i="1"/>
  <c r="B130" i="1"/>
  <c r="A130" i="1"/>
  <c r="F129" i="1"/>
  <c r="B129" i="1"/>
  <c r="A129" i="1"/>
  <c r="F128" i="1"/>
  <c r="B128" i="1"/>
  <c r="A128" i="1"/>
  <c r="F127" i="1"/>
  <c r="B127" i="1"/>
  <c r="A127" i="1"/>
  <c r="F126" i="1"/>
  <c r="B126" i="1"/>
  <c r="A126" i="1"/>
  <c r="B125" i="1"/>
  <c r="A125" i="1"/>
  <c r="F124" i="1"/>
  <c r="B124" i="1"/>
  <c r="A124" i="1"/>
  <c r="B123" i="1"/>
  <c r="A123" i="1"/>
  <c r="B122" i="1"/>
  <c r="A122" i="1"/>
  <c r="B121" i="1"/>
  <c r="A121" i="1"/>
  <c r="F120" i="1"/>
  <c r="B120" i="1"/>
  <c r="A120" i="1"/>
  <c r="B119" i="1"/>
  <c r="A119" i="1"/>
  <c r="F118" i="1"/>
  <c r="B118" i="1"/>
  <c r="A118" i="1"/>
  <c r="F117" i="1"/>
  <c r="B117" i="1"/>
  <c r="A117" i="1"/>
  <c r="F116" i="1"/>
  <c r="B116" i="1"/>
  <c r="A116" i="1"/>
  <c r="F115" i="1"/>
  <c r="B115" i="1"/>
  <c r="A115" i="1"/>
  <c r="B114" i="1"/>
  <c r="A114" i="1"/>
  <c r="F113" i="1"/>
  <c r="B113" i="1"/>
  <c r="A113" i="1"/>
  <c r="B112" i="1"/>
  <c r="A112" i="1"/>
  <c r="B111" i="1"/>
  <c r="A111" i="1"/>
  <c r="B110" i="1"/>
  <c r="A110" i="1"/>
  <c r="F109" i="1"/>
  <c r="B109" i="1"/>
  <c r="A109" i="1"/>
  <c r="B108" i="1"/>
  <c r="A108" i="1"/>
  <c r="F107" i="1"/>
  <c r="B107" i="1"/>
  <c r="A107" i="1"/>
  <c r="F106" i="1"/>
  <c r="B106" i="1"/>
  <c r="A106" i="1"/>
  <c r="F105" i="1"/>
  <c r="B105" i="1"/>
  <c r="A105" i="1"/>
  <c r="F104" i="1"/>
  <c r="B104" i="1"/>
  <c r="A104" i="1"/>
  <c r="F103" i="1"/>
  <c r="B103" i="1"/>
  <c r="A103" i="1"/>
  <c r="F102" i="1"/>
  <c r="B102" i="1"/>
  <c r="A102" i="1"/>
  <c r="F101" i="1"/>
  <c r="B101" i="1"/>
  <c r="A101" i="1"/>
  <c r="F100" i="1"/>
  <c r="B100" i="1"/>
  <c r="A100" i="1"/>
  <c r="F99" i="1"/>
  <c r="B99" i="1"/>
  <c r="A99" i="1"/>
  <c r="B98" i="1"/>
  <c r="A98" i="1"/>
  <c r="B97" i="1"/>
  <c r="A97" i="1"/>
  <c r="B96" i="1"/>
  <c r="A96" i="1"/>
  <c r="B95" i="1"/>
  <c r="A95" i="1"/>
  <c r="F94" i="1"/>
  <c r="B94" i="1"/>
  <c r="A94" i="1"/>
  <c r="F93" i="1"/>
  <c r="B93" i="1"/>
  <c r="A93" i="1"/>
  <c r="F92" i="1"/>
  <c r="B92" i="1"/>
  <c r="A92" i="1"/>
  <c r="F91" i="1"/>
  <c r="B91" i="1"/>
  <c r="A91" i="1"/>
  <c r="F90" i="1"/>
  <c r="B90" i="1"/>
  <c r="A90" i="1"/>
  <c r="F89" i="1"/>
  <c r="B89" i="1"/>
  <c r="A89" i="1"/>
  <c r="F88" i="1"/>
  <c r="B88" i="1"/>
  <c r="A88" i="1"/>
  <c r="B87" i="1"/>
  <c r="A87" i="1"/>
  <c r="B86" i="1"/>
  <c r="A86" i="1"/>
  <c r="F85" i="1"/>
  <c r="B85" i="1"/>
  <c r="A85" i="1"/>
  <c r="F84" i="1"/>
  <c r="B84" i="1"/>
  <c r="A84" i="1"/>
  <c r="F83" i="1"/>
  <c r="B83" i="1"/>
  <c r="A83" i="1"/>
  <c r="F82" i="1"/>
  <c r="B82" i="1"/>
  <c r="A82" i="1"/>
  <c r="F81" i="1"/>
  <c r="B81" i="1"/>
  <c r="A81" i="1"/>
  <c r="F80" i="1"/>
  <c r="B80" i="1"/>
  <c r="A80" i="1"/>
  <c r="B79" i="1"/>
  <c r="A79" i="1"/>
  <c r="F78" i="1"/>
  <c r="B78" i="1"/>
  <c r="A78" i="1"/>
  <c r="B77" i="1"/>
  <c r="A77" i="1"/>
  <c r="B76" i="1"/>
  <c r="A76" i="1"/>
  <c r="B75" i="1"/>
  <c r="A75" i="1"/>
  <c r="F74" i="1"/>
  <c r="B74" i="1"/>
  <c r="A74" i="1"/>
  <c r="B73" i="1"/>
  <c r="A73" i="1"/>
  <c r="F72" i="1"/>
  <c r="B72" i="1"/>
  <c r="A72" i="1"/>
  <c r="F71" i="1"/>
  <c r="B71" i="1"/>
  <c r="A71" i="1"/>
  <c r="F70" i="1"/>
  <c r="B70" i="1"/>
  <c r="A70" i="1"/>
  <c r="F69" i="1"/>
  <c r="B69" i="1"/>
  <c r="A69" i="1"/>
  <c r="B68" i="1"/>
  <c r="A68" i="1"/>
  <c r="F67" i="1"/>
  <c r="B67" i="1"/>
  <c r="A67" i="1"/>
  <c r="B66" i="1"/>
  <c r="A66" i="1"/>
  <c r="B65" i="1"/>
  <c r="A65" i="1"/>
  <c r="B64" i="1"/>
  <c r="A64" i="1"/>
  <c r="B63" i="1"/>
  <c r="A63" i="1"/>
  <c r="F62" i="1"/>
  <c r="B62" i="1"/>
  <c r="A62" i="1"/>
  <c r="F61" i="1"/>
  <c r="B61" i="1"/>
  <c r="A61" i="1"/>
  <c r="B60" i="1"/>
  <c r="A60" i="1"/>
  <c r="F59" i="1"/>
  <c r="B59" i="1"/>
  <c r="A59" i="1"/>
  <c r="F58" i="1"/>
  <c r="B58" i="1"/>
  <c r="A58" i="1"/>
  <c r="F57" i="1"/>
  <c r="B57" i="1"/>
  <c r="A57" i="1"/>
  <c r="F56" i="1"/>
  <c r="B56" i="1"/>
  <c r="A56" i="1"/>
  <c r="F55" i="1"/>
  <c r="B55" i="1"/>
  <c r="A55" i="1"/>
  <c r="F54" i="1"/>
  <c r="B54" i="1"/>
  <c r="A54" i="1"/>
  <c r="B53" i="1"/>
  <c r="A53" i="1"/>
  <c r="F52" i="1"/>
  <c r="B52" i="1"/>
  <c r="A52" i="1"/>
  <c r="B51" i="1"/>
  <c r="A51" i="1"/>
  <c r="B50" i="1"/>
  <c r="A50" i="1"/>
  <c r="F49" i="1"/>
  <c r="B49" i="1"/>
  <c r="A49" i="1"/>
  <c r="B48" i="1"/>
  <c r="A48" i="1"/>
  <c r="F47" i="1"/>
  <c r="B47" i="1"/>
  <c r="A47" i="1"/>
  <c r="F46" i="1"/>
  <c r="B46" i="1"/>
  <c r="A46" i="1"/>
  <c r="F45" i="1"/>
  <c r="B45" i="1"/>
  <c r="A45" i="1"/>
  <c r="F44" i="1"/>
  <c r="B44" i="1"/>
  <c r="A44" i="1"/>
  <c r="F43" i="1"/>
  <c r="B43" i="1"/>
  <c r="A43" i="1"/>
  <c r="F42" i="1"/>
  <c r="B42" i="1"/>
  <c r="A42" i="1"/>
  <c r="B41" i="1"/>
  <c r="A41" i="1"/>
  <c r="B40" i="1"/>
  <c r="A40" i="1"/>
  <c r="F39" i="1"/>
  <c r="B39" i="1"/>
  <c r="A39" i="1"/>
  <c r="F38" i="1"/>
  <c r="B38" i="1"/>
  <c r="A38" i="1"/>
  <c r="F37" i="1"/>
  <c r="B37" i="1"/>
  <c r="A37" i="1"/>
  <c r="F36" i="1"/>
  <c r="B36" i="1"/>
  <c r="A36" i="1"/>
  <c r="F35" i="1"/>
  <c r="B35" i="1"/>
  <c r="A35" i="1"/>
  <c r="F34" i="1"/>
  <c r="B34" i="1"/>
  <c r="A34" i="1"/>
  <c r="B33" i="1"/>
  <c r="A33" i="1"/>
  <c r="F32" i="1"/>
  <c r="B32" i="1"/>
  <c r="A32" i="1"/>
  <c r="B31" i="1"/>
  <c r="A31" i="1"/>
  <c r="B30" i="1"/>
  <c r="A30" i="1"/>
  <c r="B29" i="1"/>
  <c r="A29" i="1"/>
  <c r="F28" i="1"/>
  <c r="B28" i="1"/>
  <c r="A28" i="1"/>
  <c r="B27" i="1"/>
  <c r="A27" i="1"/>
  <c r="F26" i="1"/>
  <c r="B26" i="1"/>
  <c r="A26" i="1"/>
  <c r="F25" i="1"/>
  <c r="B25" i="1"/>
  <c r="A25" i="1"/>
  <c r="F24" i="1"/>
  <c r="B24" i="1"/>
  <c r="A24" i="1"/>
  <c r="F23" i="1"/>
  <c r="B23" i="1"/>
  <c r="A23" i="1"/>
  <c r="F22" i="1"/>
  <c r="B22" i="1"/>
  <c r="A22" i="1"/>
  <c r="B21" i="1"/>
  <c r="A21" i="1"/>
  <c r="F20" i="1"/>
  <c r="B20" i="1"/>
  <c r="A20" i="1"/>
  <c r="F19" i="1"/>
  <c r="B19" i="1"/>
  <c r="A19" i="1"/>
  <c r="B18" i="1"/>
  <c r="A18" i="1"/>
  <c r="B17" i="1"/>
  <c r="A17" i="1"/>
  <c r="B16" i="1"/>
  <c r="A16" i="1"/>
  <c r="B15" i="1"/>
  <c r="A15" i="1"/>
  <c r="F14" i="1"/>
  <c r="B14" i="1"/>
  <c r="A14" i="1"/>
  <c r="F13" i="1"/>
  <c r="B13" i="1"/>
  <c r="A13" i="1"/>
  <c r="B12" i="1"/>
  <c r="A12" i="1"/>
  <c r="F11" i="1"/>
  <c r="B11" i="1"/>
  <c r="A11" i="1"/>
  <c r="F10" i="1"/>
  <c r="B10" i="1"/>
  <c r="A10" i="1"/>
  <c r="F9" i="1"/>
  <c r="B9" i="1"/>
  <c r="A9" i="1"/>
  <c r="F8" i="1"/>
  <c r="B8" i="1"/>
  <c r="A8" i="1"/>
  <c r="F7" i="1"/>
  <c r="B7" i="1"/>
  <c r="A7" i="1"/>
  <c r="B6" i="1"/>
  <c r="A6" i="1"/>
  <c r="B5" i="1"/>
  <c r="A5" i="1"/>
  <c r="B4" i="1"/>
  <c r="A4" i="1"/>
  <c r="F3" i="1"/>
  <c r="B3" i="1"/>
  <c r="A3" i="1"/>
  <c r="B2" i="1"/>
  <c r="A2" i="1"/>
</calcChain>
</file>

<file path=xl/sharedStrings.xml><?xml version="1.0" encoding="utf-8"?>
<sst xmlns="http://schemas.openxmlformats.org/spreadsheetml/2006/main" count="1370" uniqueCount="231">
  <si>
    <t>ifc_guid</t>
  </si>
  <si>
    <t>room_name</t>
  </si>
  <si>
    <t>media_type</t>
  </si>
  <si>
    <t>hvac_system_type</t>
  </si>
  <si>
    <t>kind</t>
  </si>
  <si>
    <t>value</t>
  </si>
  <si>
    <t>unit</t>
  </si>
  <si>
    <t>HEI</t>
  </si>
  <si>
    <t>LOAD</t>
  </si>
  <si>
    <t>W</t>
  </si>
  <si>
    <t>LUE</t>
  </si>
  <si>
    <t>FLOW</t>
  </si>
  <si>
    <t>m3/h</t>
  </si>
  <si>
    <t>SAN</t>
  </si>
  <si>
    <t>l/s</t>
  </si>
  <si>
    <t>storey</t>
  </si>
  <si>
    <t>room_code</t>
  </si>
  <si>
    <t>area_m2</t>
  </si>
  <si>
    <t>height_m</t>
  </si>
  <si>
    <t>heated_status</t>
  </si>
  <si>
    <t>occupancy</t>
  </si>
  <si>
    <t>category</t>
  </si>
  <si>
    <t>heat_w_m2</t>
  </si>
  <si>
    <t>air_m3h_m2</t>
  </si>
  <si>
    <t>air_m3h_person</t>
  </si>
  <si>
    <t>air_min_m3h</t>
  </si>
  <si>
    <t>water_default_ls</t>
  </si>
  <si>
    <t>water_override_ls</t>
  </si>
  <si>
    <t>HEI_W</t>
  </si>
  <si>
    <t>LUE_m3h</t>
  </si>
  <si>
    <t>SAN_l/s</t>
  </si>
  <si>
    <t>note</t>
  </si>
  <si>
    <t>1e7aiH8Sn8fgWT34gsecs0</t>
  </si>
  <si>
    <t>UG</t>
  </si>
  <si>
    <t>11</t>
  </si>
  <si>
    <t>Lagerraum</t>
  </si>
  <si>
    <t>kalt</t>
  </si>
  <si>
    <t>STORAGE</t>
  </si>
  <si>
    <t>Estimated from IFC room name, occupancy type and area. OccupancyType: Lagerhalle.</t>
  </si>
  <si>
    <t>1AjrabScTD7QDGtcwTOelF</t>
  </si>
  <si>
    <t>12</t>
  </si>
  <si>
    <t>3hpHpkcUj9Vwf8TX00VY7$</t>
  </si>
  <si>
    <t>13</t>
  </si>
  <si>
    <t>Technikzentrale</t>
  </si>
  <si>
    <t>unbeheizt</t>
  </si>
  <si>
    <t>TECHNICAL</t>
  </si>
  <si>
    <t>Estimated from IFC room name, occupancy type and area.</t>
  </si>
  <si>
    <t>38ZWYAAYT3vu3w7nEOjRX9</t>
  </si>
  <si>
    <t>14</t>
  </si>
  <si>
    <t>Hauswart</t>
  </si>
  <si>
    <t>beheizt</t>
  </si>
  <si>
    <t>HOUSEKEEPING</t>
  </si>
  <si>
    <t>0WXx9SLDn4veY22LFyMZpR</t>
  </si>
  <si>
    <t>15</t>
  </si>
  <si>
    <t>0X4Q7Ahhn9oBN510bvdGJ7</t>
  </si>
  <si>
    <t>16</t>
  </si>
  <si>
    <t>2fq$TLEG196gRjylkOPPt1</t>
  </si>
  <si>
    <t>17</t>
  </si>
  <si>
    <t>0r0GK22SP4VvC6JLL1U4uW</t>
  </si>
  <si>
    <t>23</t>
  </si>
  <si>
    <t>Lift</t>
  </si>
  <si>
    <t>LIFT</t>
  </si>
  <si>
    <t>1n99Mc5s10ERHmxOHpNOCU</t>
  </si>
  <si>
    <t>24</t>
  </si>
  <si>
    <t>Treppenhaus</t>
  </si>
  <si>
    <t>STAIR</t>
  </si>
  <si>
    <t>Estimated from IFC room name, occupancy type and area. OccupancyType: Treppenhaus.</t>
  </si>
  <si>
    <t>3FOeTu6pnBkexhLeeY6q63</t>
  </si>
  <si>
    <t>25</t>
  </si>
  <si>
    <t>Korridor</t>
  </si>
  <si>
    <t>CORRIDOR</t>
  </si>
  <si>
    <t>Estimated from IFC room name, occupancy type and area. OccupancyType: Verkehrsfläche.</t>
  </si>
  <si>
    <t>1po6wfw1L6Du_SCcMQzf0s</t>
  </si>
  <si>
    <t>26</t>
  </si>
  <si>
    <t>2Fd3QJrEL8KeGvReeX8pzg</t>
  </si>
  <si>
    <t>32</t>
  </si>
  <si>
    <t>WC Bad Dusche</t>
  </si>
  <si>
    <t>SANITARY</t>
  </si>
  <si>
    <t>Estimated from IFC room name, occupancy type and area. OccupancyType: WC, Bad, Dusche.</t>
  </si>
  <si>
    <t>0x1Y5hR8vA9ercNZvS03ni</t>
  </si>
  <si>
    <t>41</t>
  </si>
  <si>
    <t>Schacht</t>
  </si>
  <si>
    <t>SHAFT</t>
  </si>
  <si>
    <t>39i2X4imzA3xbaLDv4VrWC</t>
  </si>
  <si>
    <t>42</t>
  </si>
  <si>
    <t>2Nsyr2vxz8zf9cCjzDG6Ws</t>
  </si>
  <si>
    <t>43</t>
  </si>
  <si>
    <t>1hgAbhFVn97RAYzOOVFZvj</t>
  </si>
  <si>
    <t>44</t>
  </si>
  <si>
    <t>1SloLv2tj0dv9VJESW7q62</t>
  </si>
  <si>
    <t>45</t>
  </si>
  <si>
    <t>2h1BgBjgT1de_eNsTp1uud</t>
  </si>
  <si>
    <t>EG</t>
  </si>
  <si>
    <t>01</t>
  </si>
  <si>
    <t>Sitzungszimmer</t>
  </si>
  <si>
    <t>MEETING</t>
  </si>
  <si>
    <t>Estimated from IFC room name, occupancy type and area. OccupancyType: Sitzungszimmer.</t>
  </si>
  <si>
    <t>3SAD0c$KzCjwNFJKsTbYlX</t>
  </si>
  <si>
    <t>02</t>
  </si>
  <si>
    <t>Küche / Pausenraum</t>
  </si>
  <si>
    <t>KITCHEN_BREAK</t>
  </si>
  <si>
    <t>Estimated from IFC room name, occupancy type and area. OccupancyType: Küche, Teeküche.</t>
  </si>
  <si>
    <t>07Q$ZAhHr9G9v1aKAjwyOA</t>
  </si>
  <si>
    <t>03</t>
  </si>
  <si>
    <t>Laborraum</t>
  </si>
  <si>
    <t>LAB</t>
  </si>
  <si>
    <t>Estimated from IFC room name, occupancy type and area. OccupancyType: Laborraum.</t>
  </si>
  <si>
    <t>2pGZzOqrP3QgX198DnmsPP</t>
  </si>
  <si>
    <t>04</t>
  </si>
  <si>
    <t>Grossraumbüro</t>
  </si>
  <si>
    <t>OPEN_OFFICE</t>
  </si>
  <si>
    <t>Estimated from IFC room name, occupancy type and area. OccupancyType: Grossraumbüro.</t>
  </si>
  <si>
    <t>015OTJ3jz9LfvJSOtjdwqK</t>
  </si>
  <si>
    <t>05</t>
  </si>
  <si>
    <t>Einzelbüro</t>
  </si>
  <si>
    <t>OFFICE</t>
  </si>
  <si>
    <t>Estimated from IFC room name, occupancy type and area. OccupancyType: Einzel-, Gruppenbüro.</t>
  </si>
  <si>
    <t>0qsyONUOnA7uV4ziubso__</t>
  </si>
  <si>
    <t>06</t>
  </si>
  <si>
    <t>2SamNHDVH87BoWSt7usIhV</t>
  </si>
  <si>
    <t>07</t>
  </si>
  <si>
    <t>2RQfxNTAL9q9ncgRSekcCr</t>
  </si>
  <si>
    <t>08</t>
  </si>
  <si>
    <t>0pgni$2or6XO_NrWyexSdA</t>
  </si>
  <si>
    <t>09</t>
  </si>
  <si>
    <t>3zFj_sKlT5DxU$pSRK_gVt</t>
  </si>
  <si>
    <t>3mL9nzYdLAm9c0EQUdM5fJ</t>
  </si>
  <si>
    <t>Gruppenbüro</t>
  </si>
  <si>
    <t>2pJJabSVnA7vCOzjrF1EXy</t>
  </si>
  <si>
    <t>25DKmW5BbDpRgm_r8VP1E4</t>
  </si>
  <si>
    <t>2ahuO8g9nAWgXNPfOxqAcH</t>
  </si>
  <si>
    <t>0FEj4ooyP1p9fzLNWGJrxo</t>
  </si>
  <si>
    <t>3wbDXDzzf0jOcow3chbfaR</t>
  </si>
  <si>
    <t>0NpEzY8OT02On0zCVFS5Hs</t>
  </si>
  <si>
    <t>18</t>
  </si>
  <si>
    <t>0v3kwr_3TC0f6BpW6X61ei</t>
  </si>
  <si>
    <t>21</t>
  </si>
  <si>
    <t>27ZZwzcOL3rBNGaX_lwWkQ</t>
  </si>
  <si>
    <t>22</t>
  </si>
  <si>
    <t>0PDZBnJOr138By27RqElf6</t>
  </si>
  <si>
    <t>3EKZ2O$tT8ew41UHY$Lfy5</t>
  </si>
  <si>
    <t>2khyYqZRr5Q81h5e2MHDAh</t>
  </si>
  <si>
    <t>35vqBCQobETByOjDARpKwG</t>
  </si>
  <si>
    <t>0LlUX5r1X3JPY8XXWFiCYt</t>
  </si>
  <si>
    <t>31</t>
  </si>
  <si>
    <t>Garderobe</t>
  </si>
  <si>
    <t>WARDROBE</t>
  </si>
  <si>
    <t>Estimated from IFC room name, occupancy type and area. OccupancyType: Garderobe, Dusche.</t>
  </si>
  <si>
    <t>1FLmg2I$XAnguWrSBdjIRl</t>
  </si>
  <si>
    <t>0lFBqgYZj8xe4O9FTGEoH1</t>
  </si>
  <si>
    <t>2Wm8O7oJ9E0Rnyb5N8e_CR</t>
  </si>
  <si>
    <t>0P1jTQu5D8jeRBSvOj9hMQ</t>
  </si>
  <si>
    <t>1TyNWYz9f1A900VPKes2eJ</t>
  </si>
  <si>
    <t>10o3TPcOL7MPAmnFkeLkCc</t>
  </si>
  <si>
    <t>1kOe4UIsf3bfsztm3YCt3f</t>
  </si>
  <si>
    <t>1.OG</t>
  </si>
  <si>
    <t>3lnh0HVqz9We$buYKUZl5a</t>
  </si>
  <si>
    <t>2cvFHPSVv2GOruxW2tCMZc</t>
  </si>
  <si>
    <t>1qCFa03a50Ieu_zRRtK_6c</t>
  </si>
  <si>
    <t>0Edx_lA7n27xL1O3fBRKdi</t>
  </si>
  <si>
    <t>0uJDDHaqj2OBEjYZWIR20V</t>
  </si>
  <si>
    <t>1aInDLaLTEGO8FhAnE7Aws</t>
  </si>
  <si>
    <t>2sO2Ja0Fn1sPvabENsgKZD</t>
  </si>
  <si>
    <t>126zlhQzH7oOuwMK1pw89I</t>
  </si>
  <si>
    <t>17Io2Hts95I9gHEWzgvDeg</t>
  </si>
  <si>
    <t>1hr6l4g7DDbOgIq0bX27Xn</t>
  </si>
  <si>
    <t>1Z2_5Q$ovC5xywCbSXXBf5</t>
  </si>
  <si>
    <t>1WIC1mey9EKQTZ_pjd_cXN</t>
  </si>
  <si>
    <t>1vDsO_9E579gQeaTViU$sn</t>
  </si>
  <si>
    <t>19ALEAFkP6Yvncl0c8d7fl</t>
  </si>
  <si>
    <t>1_Ydnth454jRS6rWTfK_ew</t>
  </si>
  <si>
    <t>0ekbaY4JD1gBRg3osTm9LZ</t>
  </si>
  <si>
    <t>1arlitlbrALeVkhUjamAFV</t>
  </si>
  <si>
    <t>1Sx_MppbP15euZJQXf9Hs1</t>
  </si>
  <si>
    <t>0$tZUkcwLFifRDTMNCuM6F</t>
  </si>
  <si>
    <t>1SkCv6K7n2dfGYxRt3Uniu</t>
  </si>
  <si>
    <t>0t3N7JNqj17RYFoTLVFqED</t>
  </si>
  <si>
    <t>3ji8dLIY5EzQQB6_noyDZn</t>
  </si>
  <si>
    <t>02jOKnhlr4288_RpavstYK</t>
  </si>
  <si>
    <t>2H0QiOBf52rgW7Qtn44C6V</t>
  </si>
  <si>
    <t>3QoxyPyiH8Iv8pfUqOd0WG</t>
  </si>
  <si>
    <t>3fudELvoT2nR_Qlp$aQZ$H</t>
  </si>
  <si>
    <t>0sxzqxp3P5BvpqanP9TXWK</t>
  </si>
  <si>
    <t>2k95g6LUzAEwkiEZqW3DsT</t>
  </si>
  <si>
    <t>3YTtRhn4vC6Bdx0VwzDtBN</t>
  </si>
  <si>
    <t>1jZ5QUYN95QBjToVg_DPGY</t>
  </si>
  <si>
    <t>2.OG</t>
  </si>
  <si>
    <t>2PeGESusj8Th0NXnlF1Ukl</t>
  </si>
  <si>
    <t>14GsnpEA50IuDhLnWpxh1X</t>
  </si>
  <si>
    <t>1uhntHvVHFP8Vt1mwfuPTC</t>
  </si>
  <si>
    <t>1oWAI1Q9v7wuhHbBOyjZGi</t>
  </si>
  <si>
    <t>2alSUWKlnEthoswo$PRPkY</t>
  </si>
  <si>
    <t>3yN9_Xv1XFGuydBbvrKb2I</t>
  </si>
  <si>
    <t>12DwbiVxj8VuJtf4$JBDRn</t>
  </si>
  <si>
    <t>3Hr71sZj9BVQKrp0Y4vHw_</t>
  </si>
  <si>
    <t>2ZcOAyGNj7x9Xm78qHCjOh</t>
  </si>
  <si>
    <t>1jNl__dP16hACFn5J7kor7</t>
  </si>
  <si>
    <t>1bChNTqYT7DfOrORFtqCpx</t>
  </si>
  <si>
    <t>2lztAC9Fb3Bu462O_Gbyqi</t>
  </si>
  <si>
    <t>0S4m5D_7T4_g7jzLOhIOQp</t>
  </si>
  <si>
    <t>3ZqhFyHEzFnxIZyj_YZija</t>
  </si>
  <si>
    <t>2z0pEBVX97teZeQ8DPf7s1</t>
  </si>
  <si>
    <t>0PtzbuTuD67QX3dFqpVR3G</t>
  </si>
  <si>
    <t>0kmyz7CZj6JwYIdbAwAHGj</t>
  </si>
  <si>
    <t>0coVUDnrrERB6CK338mkjp</t>
  </si>
  <si>
    <t>2rf3pnwtzEbeks3Oqv4LqG</t>
  </si>
  <si>
    <t>34ekzyiGn238hbkxgpMV6v</t>
  </si>
  <si>
    <t>0mUxeMcSXBHOspqtEHmPM$</t>
  </si>
  <si>
    <t>1Rh8ASh_j0Kgn9RIoUyJHX</t>
  </si>
  <si>
    <t>3AP3M9CFD8TPvhiv$v0MoY</t>
  </si>
  <si>
    <t>1mNjB9RH5Dcw0xuDRfC9KF</t>
  </si>
  <si>
    <t>1CFE2H6m9F3h92kYSVuict</t>
  </si>
  <si>
    <t>2TFUQfoSr5MA9gW$xKvBHh</t>
  </si>
  <si>
    <t>0nCDl96EH1eBpf_UZquDfx</t>
  </si>
  <si>
    <t>1LTGzgabbEF8UCIF4Jegx1</t>
  </si>
  <si>
    <t>1f$1icVJ9F8gLfub5rtniV</t>
  </si>
  <si>
    <t>description</t>
  </si>
  <si>
    <t>Enclosed offices and group offices</t>
  </si>
  <si>
    <t>Open-plan office space</t>
  </si>
  <si>
    <t>Meeting and seminar rooms</t>
  </si>
  <si>
    <t>Laboratory / practical rooms</t>
  </si>
  <si>
    <t>Kitchenette and break room</t>
  </si>
  <si>
    <t>WC / shower / washroom</t>
  </si>
  <si>
    <t>Changing room / wardrobe</t>
  </si>
  <si>
    <t>Janitor / service room</t>
  </si>
  <si>
    <t>Circulation corridor</t>
  </si>
  <si>
    <t>Stairwell</t>
  </si>
  <si>
    <t>Storage rooms</t>
  </si>
  <si>
    <t>Technical / plant rooms</t>
  </si>
  <si>
    <t>Vertical shafts</t>
  </si>
  <si>
    <t>Lift / elevator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</si>
</sst>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1" xfId="1" applyFont="1" applyBorder="1"/>
    <xf numFmtId="2" fontId="0" fillId="4" borderId="1" xfId="1" applyNumberFormat="1" applyFont="1" applyFill="1" applyBorder="1"/>
    <xf numFmtId="0" fontId="0" fillId="0" borderId="1" xfId="1" applyFont="1" applyBorder="1" applyAlignment="1">
      <alignment vertical="top"/>
    </xf>
    <xf numFmtId="0" fontId="0" fillId="0" borderId="1" xfId="1" applyFont="1" applyBorder="1" applyAlignment="1">
      <alignment vertical="top" wrapText="1"/>
    </xf>
    <xf numFmtId="2" fontId="0" fillId="3" borderId="1" xfId="1" applyNumberFormat="1" applyFont="1" applyFill="1" applyBorder="1" applyAlignment="1">
      <alignment vertical="top"/>
    </xf>
    <xf numFmtId="0" fontId="0" fillId="3" borderId="1" xfId="1" applyFont="1" applyFill="1" applyBorder="1" applyAlignment="1">
      <alignment vertical="top"/>
    </xf>
    <xf numFmtId="1" fontId="0" fillId="3" borderId="1" xfId="1" applyNumberFormat="1" applyFont="1" applyFill="1" applyBorder="1" applyAlignment="1">
      <alignment vertical="top"/>
    </xf>
    <xf numFmtId="1" fontId="2" fillId="4" borderId="1" xfId="1" applyNumberFormat="1" applyFont="1" applyFill="1" applyBorder="1" applyAlignment="1">
      <alignment vertical="top"/>
    </xf>
    <xf numFmtId="2" fontId="2" fillId="4" borderId="1" xfId="1" applyNumberFormat="1" applyFont="1" applyFill="1" applyBorder="1" applyAlignment="1">
      <alignment vertical="top"/>
    </xf>
    <xf numFmtId="0" fontId="0" fillId="5" borderId="1" xfId="1" applyFont="1" applyFill="1" applyBorder="1" applyAlignment="1">
      <alignment vertical="top" wrapText="1"/>
    </xf>
    <xf numFmtId="2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A6" sqref="A6:XFD6"/>
    </sheetView>
  </sheetViews>
  <sheetFormatPr baseColWidth="10" defaultColWidth="9.06640625" defaultRowHeight="14.25" x14ac:dyDescent="0.45"/>
  <cols>
    <col min="1" max="2" width="24" customWidth="1"/>
    <col min="3" max="3" width="12" customWidth="1"/>
    <col min="4" max="4" width="16" customWidth="1"/>
    <col min="5" max="5" width="12" customWidth="1"/>
    <col min="6" max="7" width="10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tr">
        <f>Rooms!A2</f>
        <v>1e7aiH8Sn8fgWT34gsecs0</v>
      </c>
      <c r="B2" s="2" t="str">
        <f>Rooms!D2</f>
        <v>Lagerraum</v>
      </c>
      <c r="C2" s="2" t="s">
        <v>7</v>
      </c>
      <c r="D2" s="2" t="s">
        <v>7</v>
      </c>
      <c r="E2" s="2" t="s">
        <v>8</v>
      </c>
      <c r="F2" s="3">
        <f>Rooms!P2</f>
        <v>300</v>
      </c>
      <c r="G2" s="2" t="s">
        <v>9</v>
      </c>
    </row>
    <row r="3" spans="1:7" x14ac:dyDescent="0.45">
      <c r="A3" s="2" t="str">
        <f>Rooms!A2</f>
        <v>1e7aiH8Sn8fgWT34gsecs0</v>
      </c>
      <c r="B3" s="2" t="str">
        <f>Rooms!D2</f>
        <v>Lagerraum</v>
      </c>
      <c r="C3" s="2" t="s">
        <v>10</v>
      </c>
      <c r="D3" s="2" t="s">
        <v>10</v>
      </c>
      <c r="E3" s="2" t="s">
        <v>11</v>
      </c>
      <c r="F3" s="3">
        <f>Rooms!Q2</f>
        <v>15</v>
      </c>
      <c r="G3" s="2" t="s">
        <v>12</v>
      </c>
    </row>
    <row r="4" spans="1:7" x14ac:dyDescent="0.45">
      <c r="A4" s="2" t="str">
        <f>Rooms!A3</f>
        <v>1AjrabScTD7QDGtcwTOelF</v>
      </c>
      <c r="B4" s="2" t="str">
        <f>Rooms!D3</f>
        <v>Lagerraum</v>
      </c>
      <c r="C4" s="2" t="s">
        <v>7</v>
      </c>
      <c r="D4" s="2" t="s">
        <v>7</v>
      </c>
      <c r="E4" s="2" t="s">
        <v>8</v>
      </c>
      <c r="F4" s="3">
        <f>Rooms!P3</f>
        <v>750</v>
      </c>
      <c r="G4" s="2" t="s">
        <v>9</v>
      </c>
    </row>
    <row r="5" spans="1:7" x14ac:dyDescent="0.45">
      <c r="A5" s="2" t="str">
        <f>Rooms!A3</f>
        <v>1AjrabScTD7QDGtcwTOelF</v>
      </c>
      <c r="B5" s="2" t="str">
        <f>Rooms!D3</f>
        <v>Lagerraum</v>
      </c>
      <c r="C5" s="2" t="s">
        <v>10</v>
      </c>
      <c r="D5" s="2" t="s">
        <v>10</v>
      </c>
      <c r="E5" s="2" t="s">
        <v>11</v>
      </c>
      <c r="F5" s="3">
        <f>Rooms!Q3</f>
        <v>40</v>
      </c>
      <c r="G5" s="2" t="s">
        <v>12</v>
      </c>
    </row>
    <row r="6" spans="1:7" x14ac:dyDescent="0.45">
      <c r="A6" s="2" t="str">
        <f>Rooms!A5</f>
        <v>38ZWYAAYT3vu3w7nEOjRX9</v>
      </c>
      <c r="B6" s="2" t="str">
        <f>Rooms!D5</f>
        <v>Hauswart</v>
      </c>
      <c r="C6" s="2" t="s">
        <v>7</v>
      </c>
      <c r="D6" s="2" t="s">
        <v>7</v>
      </c>
      <c r="E6" s="2" t="s">
        <v>8</v>
      </c>
      <c r="F6" s="3">
        <f>Rooms!P5</f>
        <v>1550</v>
      </c>
      <c r="G6" s="2" t="s">
        <v>9</v>
      </c>
    </row>
    <row r="7" spans="1:7" x14ac:dyDescent="0.45">
      <c r="A7" s="2" t="str">
        <f>Rooms!A5</f>
        <v>38ZWYAAYT3vu3w7nEOjRX9</v>
      </c>
      <c r="B7" s="2" t="str">
        <f>Rooms!D5</f>
        <v>Hauswart</v>
      </c>
      <c r="C7" s="2" t="s">
        <v>10</v>
      </c>
      <c r="D7" s="2" t="s">
        <v>10</v>
      </c>
      <c r="E7" s="2" t="s">
        <v>11</v>
      </c>
      <c r="F7" s="3">
        <f>Rooms!Q5</f>
        <v>100</v>
      </c>
      <c r="G7" s="2" t="s">
        <v>12</v>
      </c>
    </row>
    <row r="8" spans="1:7" x14ac:dyDescent="0.45">
      <c r="A8" s="2" t="str">
        <f>Rooms!A5</f>
        <v>38ZWYAAYT3vu3w7nEOjRX9</v>
      </c>
      <c r="B8" s="2" t="str">
        <f>Rooms!D5</f>
        <v>Hauswart</v>
      </c>
      <c r="C8" s="2" t="s">
        <v>13</v>
      </c>
      <c r="D8" s="2" t="s">
        <v>13</v>
      </c>
      <c r="E8" s="2" t="s">
        <v>11</v>
      </c>
      <c r="F8" s="3">
        <f>Rooms!R5</f>
        <v>0.05</v>
      </c>
      <c r="G8" s="2" t="s">
        <v>14</v>
      </c>
    </row>
    <row r="9" spans="1:7" x14ac:dyDescent="0.45">
      <c r="A9" s="2" t="str">
        <f>Rooms!A6</f>
        <v>0WXx9SLDn4veY22LFyMZpR</v>
      </c>
      <c r="B9" s="2" t="str">
        <f>Rooms!D6</f>
        <v>Lagerraum</v>
      </c>
      <c r="C9" s="2" t="s">
        <v>7</v>
      </c>
      <c r="D9" s="2" t="s">
        <v>7</v>
      </c>
      <c r="E9" s="2" t="s">
        <v>8</v>
      </c>
      <c r="F9" s="3">
        <f>Rooms!P6</f>
        <v>750</v>
      </c>
      <c r="G9" s="2" t="s">
        <v>9</v>
      </c>
    </row>
    <row r="10" spans="1:7" x14ac:dyDescent="0.45">
      <c r="A10" s="2" t="str">
        <f>Rooms!A6</f>
        <v>0WXx9SLDn4veY22LFyMZpR</v>
      </c>
      <c r="B10" s="2" t="str">
        <f>Rooms!D6</f>
        <v>Lagerraum</v>
      </c>
      <c r="C10" s="2" t="s">
        <v>10</v>
      </c>
      <c r="D10" s="2" t="s">
        <v>10</v>
      </c>
      <c r="E10" s="2" t="s">
        <v>11</v>
      </c>
      <c r="F10" s="3">
        <f>Rooms!Q6</f>
        <v>40</v>
      </c>
      <c r="G10" s="2" t="s">
        <v>12</v>
      </c>
    </row>
    <row r="11" spans="1:7" x14ac:dyDescent="0.45">
      <c r="A11" s="2" t="str">
        <f>Rooms!A8</f>
        <v>2fq$TLEG196gRjylkOPPt1</v>
      </c>
      <c r="B11" s="2" t="str">
        <f>Rooms!D8</f>
        <v>Lagerraum</v>
      </c>
      <c r="C11" s="2" t="s">
        <v>7</v>
      </c>
      <c r="D11" s="2" t="s">
        <v>7</v>
      </c>
      <c r="E11" s="2" t="s">
        <v>8</v>
      </c>
      <c r="F11" s="3">
        <f>Rooms!P8</f>
        <v>750</v>
      </c>
      <c r="G11" s="2" t="s">
        <v>9</v>
      </c>
    </row>
    <row r="12" spans="1:7" x14ac:dyDescent="0.45">
      <c r="A12" s="2" t="str">
        <f>Rooms!A8</f>
        <v>2fq$TLEG196gRjylkOPPt1</v>
      </c>
      <c r="B12" s="2" t="str">
        <f>Rooms!D8</f>
        <v>Lagerraum</v>
      </c>
      <c r="C12" s="2" t="s">
        <v>10</v>
      </c>
      <c r="D12" s="2" t="s">
        <v>10</v>
      </c>
      <c r="E12" s="2" t="s">
        <v>11</v>
      </c>
      <c r="F12" s="3">
        <f>Rooms!Q8</f>
        <v>40</v>
      </c>
      <c r="G12" s="2" t="s">
        <v>12</v>
      </c>
    </row>
    <row r="13" spans="1:7" x14ac:dyDescent="0.45">
      <c r="A13" s="2" t="str">
        <f>Rooms!A13</f>
        <v>2Fd3QJrEL8KeGvReeX8pzg</v>
      </c>
      <c r="B13" s="2" t="str">
        <f>Rooms!D13</f>
        <v>WC Bad Dusche</v>
      </c>
      <c r="C13" s="2" t="s">
        <v>7</v>
      </c>
      <c r="D13" s="2" t="s">
        <v>7</v>
      </c>
      <c r="E13" s="2" t="s">
        <v>8</v>
      </c>
      <c r="F13" s="3">
        <f>Rooms!P13</f>
        <v>400</v>
      </c>
      <c r="G13" s="2" t="s">
        <v>9</v>
      </c>
    </row>
    <row r="14" spans="1:7" x14ac:dyDescent="0.45">
      <c r="A14" s="2" t="str">
        <f>Rooms!A13</f>
        <v>2Fd3QJrEL8KeGvReeX8pzg</v>
      </c>
      <c r="B14" s="2" t="str">
        <f>Rooms!D13</f>
        <v>WC Bad Dusche</v>
      </c>
      <c r="C14" s="2" t="s">
        <v>10</v>
      </c>
      <c r="D14" s="2" t="s">
        <v>10</v>
      </c>
      <c r="E14" s="2" t="s">
        <v>11</v>
      </c>
      <c r="F14" s="3">
        <f>Rooms!Q13</f>
        <v>90</v>
      </c>
      <c r="G14" s="2" t="s">
        <v>12</v>
      </c>
    </row>
    <row r="15" spans="1:7" x14ac:dyDescent="0.45">
      <c r="A15" s="2" t="str">
        <f>Rooms!A13</f>
        <v>2Fd3QJrEL8KeGvReeX8pzg</v>
      </c>
      <c r="B15" s="2" t="str">
        <f>Rooms!D13</f>
        <v>WC Bad Dusche</v>
      </c>
      <c r="C15" s="2" t="s">
        <v>13</v>
      </c>
      <c r="D15" s="2" t="s">
        <v>13</v>
      </c>
      <c r="E15" s="2" t="s">
        <v>11</v>
      </c>
      <c r="F15" s="3">
        <f>Rooms!R13</f>
        <v>0.2</v>
      </c>
      <c r="G15" s="2" t="s">
        <v>14</v>
      </c>
    </row>
    <row r="16" spans="1:7" x14ac:dyDescent="0.45">
      <c r="A16" s="2" t="str">
        <f>Rooms!A19</f>
        <v>2h1BgBjgT1de_eNsTp1uud</v>
      </c>
      <c r="B16" s="2" t="str">
        <f>Rooms!D19</f>
        <v>Sitzungszimmer</v>
      </c>
      <c r="C16" s="2" t="s">
        <v>7</v>
      </c>
      <c r="D16" s="2" t="s">
        <v>7</v>
      </c>
      <c r="E16" s="2" t="s">
        <v>8</v>
      </c>
      <c r="F16" s="3">
        <f>Rooms!P19</f>
        <v>3600</v>
      </c>
      <c r="G16" s="2" t="s">
        <v>9</v>
      </c>
    </row>
    <row r="17" spans="1:7" x14ac:dyDescent="0.45">
      <c r="A17" s="2" t="str">
        <f>Rooms!A19</f>
        <v>2h1BgBjgT1de_eNsTp1uud</v>
      </c>
      <c r="B17" s="2" t="str">
        <f>Rooms!D19</f>
        <v>Sitzungszimmer</v>
      </c>
      <c r="C17" s="2" t="s">
        <v>10</v>
      </c>
      <c r="D17" s="2" t="s">
        <v>10</v>
      </c>
      <c r="E17" s="2" t="s">
        <v>11</v>
      </c>
      <c r="F17" s="3">
        <f>Rooms!Q19</f>
        <v>680</v>
      </c>
      <c r="G17" s="2" t="s">
        <v>12</v>
      </c>
    </row>
    <row r="18" spans="1:7" x14ac:dyDescent="0.45">
      <c r="A18" s="2" t="str">
        <f>Rooms!A20</f>
        <v>3SAD0c$KzCjwNFJKsTbYlX</v>
      </c>
      <c r="B18" s="2" t="str">
        <f>Rooms!D20</f>
        <v>Küche / Pausenraum</v>
      </c>
      <c r="C18" s="2" t="s">
        <v>7</v>
      </c>
      <c r="D18" s="2" t="s">
        <v>7</v>
      </c>
      <c r="E18" s="2" t="s">
        <v>8</v>
      </c>
      <c r="F18" s="3">
        <f>Rooms!P20</f>
        <v>3450</v>
      </c>
      <c r="G18" s="2" t="s">
        <v>9</v>
      </c>
    </row>
    <row r="19" spans="1:7" x14ac:dyDescent="0.45">
      <c r="A19" s="2" t="str">
        <f>Rooms!A20</f>
        <v>3SAD0c$KzCjwNFJKsTbYlX</v>
      </c>
      <c r="B19" s="2" t="str">
        <f>Rooms!D20</f>
        <v>Küche / Pausenraum</v>
      </c>
      <c r="C19" s="2" t="s">
        <v>10</v>
      </c>
      <c r="D19" s="2" t="s">
        <v>10</v>
      </c>
      <c r="E19" s="2" t="s">
        <v>11</v>
      </c>
      <c r="F19" s="3">
        <f>Rooms!Q20</f>
        <v>375</v>
      </c>
      <c r="G19" s="2" t="s">
        <v>12</v>
      </c>
    </row>
    <row r="20" spans="1:7" x14ac:dyDescent="0.45">
      <c r="A20" s="2" t="str">
        <f>Rooms!A20</f>
        <v>3SAD0c$KzCjwNFJKsTbYlX</v>
      </c>
      <c r="B20" s="2" t="str">
        <f>Rooms!D20</f>
        <v>Küche / Pausenraum</v>
      </c>
      <c r="C20" s="2" t="s">
        <v>13</v>
      </c>
      <c r="D20" s="2" t="s">
        <v>13</v>
      </c>
      <c r="E20" s="2" t="s">
        <v>11</v>
      </c>
      <c r="F20" s="3">
        <f>Rooms!R20</f>
        <v>0.12</v>
      </c>
      <c r="G20" s="2" t="s">
        <v>14</v>
      </c>
    </row>
    <row r="21" spans="1:7" x14ac:dyDescent="0.45">
      <c r="A21" s="2" t="str">
        <f>Rooms!A21</f>
        <v>07Q$ZAhHr9G9v1aKAjwyOA</v>
      </c>
      <c r="B21" s="2" t="str">
        <f>Rooms!D21</f>
        <v>Laborraum</v>
      </c>
      <c r="C21" s="2" t="s">
        <v>7</v>
      </c>
      <c r="D21" s="2" t="s">
        <v>7</v>
      </c>
      <c r="E21" s="2" t="s">
        <v>8</v>
      </c>
      <c r="F21" s="3">
        <f>Rooms!P21</f>
        <v>2850</v>
      </c>
      <c r="G21" s="2" t="s">
        <v>9</v>
      </c>
    </row>
    <row r="22" spans="1:7" x14ac:dyDescent="0.45">
      <c r="A22" s="2" t="str">
        <f>Rooms!A21</f>
        <v>07Q$ZAhHr9G9v1aKAjwyOA</v>
      </c>
      <c r="B22" s="2" t="str">
        <f>Rooms!D21</f>
        <v>Laborraum</v>
      </c>
      <c r="C22" s="2" t="s">
        <v>10</v>
      </c>
      <c r="D22" s="2" t="s">
        <v>10</v>
      </c>
      <c r="E22" s="2" t="s">
        <v>11</v>
      </c>
      <c r="F22" s="3">
        <f>Rooms!Q21</f>
        <v>265</v>
      </c>
      <c r="G22" s="2" t="s">
        <v>12</v>
      </c>
    </row>
    <row r="23" spans="1:7" x14ac:dyDescent="0.45">
      <c r="A23" s="2" t="str">
        <f>Rooms!A21</f>
        <v>07Q$ZAhHr9G9v1aKAjwyOA</v>
      </c>
      <c r="B23" s="2" t="str">
        <f>Rooms!D21</f>
        <v>Laborraum</v>
      </c>
      <c r="C23" s="2" t="s">
        <v>13</v>
      </c>
      <c r="D23" s="2" t="s">
        <v>13</v>
      </c>
      <c r="E23" s="2" t="s">
        <v>11</v>
      </c>
      <c r="F23" s="3">
        <f>Rooms!R21</f>
        <v>0.05</v>
      </c>
      <c r="G23" s="2" t="s">
        <v>14</v>
      </c>
    </row>
    <row r="24" spans="1:7" x14ac:dyDescent="0.45">
      <c r="A24" s="2" t="str">
        <f>Rooms!A22</f>
        <v>2pGZzOqrP3QgX198DnmsPP</v>
      </c>
      <c r="B24" s="2" t="str">
        <f>Rooms!D22</f>
        <v>Grossraumbüro</v>
      </c>
      <c r="C24" s="2" t="s">
        <v>7</v>
      </c>
      <c r="D24" s="2" t="s">
        <v>7</v>
      </c>
      <c r="E24" s="2" t="s">
        <v>8</v>
      </c>
      <c r="F24" s="3">
        <f>Rooms!P22</f>
        <v>4150</v>
      </c>
      <c r="G24" s="2" t="s">
        <v>9</v>
      </c>
    </row>
    <row r="25" spans="1:7" x14ac:dyDescent="0.45">
      <c r="A25" s="2" t="str">
        <f>Rooms!A22</f>
        <v>2pGZzOqrP3QgX198DnmsPP</v>
      </c>
      <c r="B25" s="2" t="str">
        <f>Rooms!D22</f>
        <v>Grossraumbüro</v>
      </c>
      <c r="C25" s="2" t="s">
        <v>10</v>
      </c>
      <c r="D25" s="2" t="s">
        <v>10</v>
      </c>
      <c r="E25" s="2" t="s">
        <v>11</v>
      </c>
      <c r="F25" s="3">
        <f>Rooms!Q22</f>
        <v>395</v>
      </c>
      <c r="G25" s="2" t="s">
        <v>12</v>
      </c>
    </row>
    <row r="26" spans="1:7" x14ac:dyDescent="0.45">
      <c r="A26" s="2" t="str">
        <f>Rooms!A23</f>
        <v>015OTJ3jz9LfvJSOtjdwqK</v>
      </c>
      <c r="B26" s="2" t="str">
        <f>Rooms!D23</f>
        <v>Einzelbüro</v>
      </c>
      <c r="C26" s="2" t="s">
        <v>7</v>
      </c>
      <c r="D26" s="2" t="s">
        <v>7</v>
      </c>
      <c r="E26" s="2" t="s">
        <v>8</v>
      </c>
      <c r="F26" s="3">
        <f>Rooms!P23</f>
        <v>1750</v>
      </c>
      <c r="G26" s="2" t="s">
        <v>9</v>
      </c>
    </row>
    <row r="27" spans="1:7" x14ac:dyDescent="0.45">
      <c r="A27" s="2" t="str">
        <f>Rooms!A23</f>
        <v>015OTJ3jz9LfvJSOtjdwqK</v>
      </c>
      <c r="B27" s="2" t="str">
        <f>Rooms!D23</f>
        <v>Einzelbüro</v>
      </c>
      <c r="C27" s="2" t="s">
        <v>10</v>
      </c>
      <c r="D27" s="2" t="s">
        <v>10</v>
      </c>
      <c r="E27" s="2" t="s">
        <v>11</v>
      </c>
      <c r="F27" s="3">
        <f>Rooms!Q23</f>
        <v>125</v>
      </c>
      <c r="G27" s="2" t="s">
        <v>12</v>
      </c>
    </row>
    <row r="28" spans="1:7" x14ac:dyDescent="0.45">
      <c r="A28" s="2" t="str">
        <f>Rooms!A24</f>
        <v>0qsyONUOnA7uV4ziubso__</v>
      </c>
      <c r="B28" s="2" t="str">
        <f>Rooms!D24</f>
        <v>Grossraumbüro</v>
      </c>
      <c r="C28" s="2" t="s">
        <v>7</v>
      </c>
      <c r="D28" s="2" t="s">
        <v>7</v>
      </c>
      <c r="E28" s="2" t="s">
        <v>8</v>
      </c>
      <c r="F28" s="3">
        <f>Rooms!P24</f>
        <v>4850</v>
      </c>
      <c r="G28" s="2" t="s">
        <v>9</v>
      </c>
    </row>
    <row r="29" spans="1:7" x14ac:dyDescent="0.45">
      <c r="A29" s="2" t="str">
        <f>Rooms!A24</f>
        <v>0qsyONUOnA7uV4ziubso__</v>
      </c>
      <c r="B29" s="2" t="str">
        <f>Rooms!D24</f>
        <v>Grossraumbüro</v>
      </c>
      <c r="C29" s="2" t="s">
        <v>10</v>
      </c>
      <c r="D29" s="2" t="s">
        <v>10</v>
      </c>
      <c r="E29" s="2" t="s">
        <v>11</v>
      </c>
      <c r="F29" s="3">
        <f>Rooms!Q24</f>
        <v>470</v>
      </c>
      <c r="G29" s="2" t="s">
        <v>12</v>
      </c>
    </row>
    <row r="30" spans="1:7" x14ac:dyDescent="0.45">
      <c r="A30" s="2" t="str">
        <f>Rooms!A25</f>
        <v>2SamNHDVH87BoWSt7usIhV</v>
      </c>
      <c r="B30" s="2" t="str">
        <f>Rooms!D25</f>
        <v>Einzelbüro</v>
      </c>
      <c r="C30" s="2" t="s">
        <v>7</v>
      </c>
      <c r="D30" s="2" t="s">
        <v>7</v>
      </c>
      <c r="E30" s="2" t="s">
        <v>8</v>
      </c>
      <c r="F30" s="3">
        <f>Rooms!P25</f>
        <v>2200</v>
      </c>
      <c r="G30" s="2" t="s">
        <v>9</v>
      </c>
    </row>
    <row r="31" spans="1:7" x14ac:dyDescent="0.45">
      <c r="A31" s="2" t="str">
        <f>Rooms!A25</f>
        <v>2SamNHDVH87BoWSt7usIhV</v>
      </c>
      <c r="B31" s="2" t="str">
        <f>Rooms!D25</f>
        <v>Einzelbüro</v>
      </c>
      <c r="C31" s="2" t="s">
        <v>10</v>
      </c>
      <c r="D31" s="2" t="s">
        <v>10</v>
      </c>
      <c r="E31" s="2" t="s">
        <v>11</v>
      </c>
      <c r="F31" s="3">
        <f>Rooms!Q25</f>
        <v>155</v>
      </c>
      <c r="G31" s="2" t="s">
        <v>12</v>
      </c>
    </row>
    <row r="32" spans="1:7" x14ac:dyDescent="0.45">
      <c r="A32" s="2" t="str">
        <f>Rooms!A26</f>
        <v>2RQfxNTAL9q9ncgRSekcCr</v>
      </c>
      <c r="B32" s="2" t="str">
        <f>Rooms!D26</f>
        <v>Grossraumbüro</v>
      </c>
      <c r="C32" s="2" t="s">
        <v>7</v>
      </c>
      <c r="D32" s="2" t="s">
        <v>7</v>
      </c>
      <c r="E32" s="2" t="s">
        <v>8</v>
      </c>
      <c r="F32" s="3">
        <f>Rooms!P26</f>
        <v>2900</v>
      </c>
      <c r="G32" s="2" t="s">
        <v>9</v>
      </c>
    </row>
    <row r="33" spans="1:7" x14ac:dyDescent="0.45">
      <c r="A33" s="2" t="str">
        <f>Rooms!A26</f>
        <v>2RQfxNTAL9q9ncgRSekcCr</v>
      </c>
      <c r="B33" s="2" t="str">
        <f>Rooms!D26</f>
        <v>Grossraumbüro</v>
      </c>
      <c r="C33" s="2" t="s">
        <v>10</v>
      </c>
      <c r="D33" s="2" t="s">
        <v>10</v>
      </c>
      <c r="E33" s="2" t="s">
        <v>11</v>
      </c>
      <c r="F33" s="3">
        <f>Rooms!Q26</f>
        <v>290</v>
      </c>
      <c r="G33" s="2" t="s">
        <v>12</v>
      </c>
    </row>
    <row r="34" spans="1:7" x14ac:dyDescent="0.45">
      <c r="A34" s="2" t="str">
        <f>Rooms!A27</f>
        <v>0pgni$2or6XO_NrWyexSdA</v>
      </c>
      <c r="B34" s="2" t="str">
        <f>Rooms!D27</f>
        <v>Sitzungszimmer</v>
      </c>
      <c r="C34" s="2" t="s">
        <v>7</v>
      </c>
      <c r="D34" s="2" t="s">
        <v>7</v>
      </c>
      <c r="E34" s="2" t="s">
        <v>8</v>
      </c>
      <c r="F34" s="3">
        <f>Rooms!P27</f>
        <v>3600</v>
      </c>
      <c r="G34" s="2" t="s">
        <v>9</v>
      </c>
    </row>
    <row r="35" spans="1:7" x14ac:dyDescent="0.45">
      <c r="A35" s="2" t="str">
        <f>Rooms!A27</f>
        <v>0pgni$2or6XO_NrWyexSdA</v>
      </c>
      <c r="B35" s="2" t="str">
        <f>Rooms!D27</f>
        <v>Sitzungszimmer</v>
      </c>
      <c r="C35" s="2" t="s">
        <v>10</v>
      </c>
      <c r="D35" s="2" t="s">
        <v>10</v>
      </c>
      <c r="E35" s="2" t="s">
        <v>11</v>
      </c>
      <c r="F35" s="3">
        <f>Rooms!Q27</f>
        <v>680</v>
      </c>
      <c r="G35" s="2" t="s">
        <v>12</v>
      </c>
    </row>
    <row r="36" spans="1:7" x14ac:dyDescent="0.45">
      <c r="A36" s="2" t="str">
        <f>Rooms!A28</f>
        <v>3zFj_sKlT5DxU$pSRK_gVt</v>
      </c>
      <c r="B36" s="2" t="str">
        <f>Rooms!D28</f>
        <v>Sitzungszimmer</v>
      </c>
      <c r="C36" s="2" t="s">
        <v>7</v>
      </c>
      <c r="D36" s="2" t="s">
        <v>7</v>
      </c>
      <c r="E36" s="2" t="s">
        <v>8</v>
      </c>
      <c r="F36" s="3">
        <f>Rooms!P28</f>
        <v>1550</v>
      </c>
      <c r="G36" s="2" t="s">
        <v>9</v>
      </c>
    </row>
    <row r="37" spans="1:7" x14ac:dyDescent="0.45">
      <c r="A37" s="2" t="str">
        <f>Rooms!A28</f>
        <v>3zFj_sKlT5DxU$pSRK_gVt</v>
      </c>
      <c r="B37" s="2" t="str">
        <f>Rooms!D28</f>
        <v>Sitzungszimmer</v>
      </c>
      <c r="C37" s="2" t="s">
        <v>10</v>
      </c>
      <c r="D37" s="2" t="s">
        <v>10</v>
      </c>
      <c r="E37" s="2" t="s">
        <v>11</v>
      </c>
      <c r="F37" s="3">
        <f>Rooms!Q28</f>
        <v>320</v>
      </c>
      <c r="G37" s="2" t="s">
        <v>12</v>
      </c>
    </row>
    <row r="38" spans="1:7" x14ac:dyDescent="0.45">
      <c r="A38" s="2" t="str">
        <f>Rooms!A29</f>
        <v>3mL9nzYdLAm9c0EQUdM5fJ</v>
      </c>
      <c r="B38" s="2" t="str">
        <f>Rooms!D29</f>
        <v>Gruppenbüro</v>
      </c>
      <c r="C38" s="2" t="s">
        <v>7</v>
      </c>
      <c r="D38" s="2" t="s">
        <v>7</v>
      </c>
      <c r="E38" s="2" t="s">
        <v>8</v>
      </c>
      <c r="F38" s="3">
        <f>Rooms!P29</f>
        <v>3800</v>
      </c>
      <c r="G38" s="2" t="s">
        <v>9</v>
      </c>
    </row>
    <row r="39" spans="1:7" x14ac:dyDescent="0.45">
      <c r="A39" s="2" t="str">
        <f>Rooms!A29</f>
        <v>3mL9nzYdLAm9c0EQUdM5fJ</v>
      </c>
      <c r="B39" s="2" t="str">
        <f>Rooms!D29</f>
        <v>Gruppenbüro</v>
      </c>
      <c r="C39" s="2" t="s">
        <v>10</v>
      </c>
      <c r="D39" s="2" t="s">
        <v>10</v>
      </c>
      <c r="E39" s="2" t="s">
        <v>11</v>
      </c>
      <c r="F39" s="3">
        <f>Rooms!Q29</f>
        <v>270</v>
      </c>
      <c r="G39" s="2" t="s">
        <v>12</v>
      </c>
    </row>
    <row r="40" spans="1:7" x14ac:dyDescent="0.45">
      <c r="A40" s="2" t="str">
        <f>Rooms!A30</f>
        <v>2pJJabSVnA7vCOzjrF1EXy</v>
      </c>
      <c r="B40" s="2" t="str">
        <f>Rooms!D30</f>
        <v>Gruppenbüro</v>
      </c>
      <c r="C40" s="2" t="s">
        <v>7</v>
      </c>
      <c r="D40" s="2" t="s">
        <v>7</v>
      </c>
      <c r="E40" s="2" t="s">
        <v>8</v>
      </c>
      <c r="F40" s="3">
        <f>Rooms!P30</f>
        <v>3800</v>
      </c>
      <c r="G40" s="2" t="s">
        <v>9</v>
      </c>
    </row>
    <row r="41" spans="1:7" x14ac:dyDescent="0.45">
      <c r="A41" s="2" t="str">
        <f>Rooms!A30</f>
        <v>2pJJabSVnA7vCOzjrF1EXy</v>
      </c>
      <c r="B41" s="2" t="str">
        <f>Rooms!D30</f>
        <v>Gruppenbüro</v>
      </c>
      <c r="C41" s="2" t="s">
        <v>10</v>
      </c>
      <c r="D41" s="2" t="s">
        <v>10</v>
      </c>
      <c r="E41" s="2" t="s">
        <v>11</v>
      </c>
      <c r="F41" s="3">
        <f>Rooms!Q30</f>
        <v>270</v>
      </c>
      <c r="G41" s="2" t="s">
        <v>12</v>
      </c>
    </row>
    <row r="42" spans="1:7" x14ac:dyDescent="0.45">
      <c r="A42" s="2" t="str">
        <f>Rooms!A31</f>
        <v>25DKmW5BbDpRgm_r8VP1E4</v>
      </c>
      <c r="B42" s="2" t="str">
        <f>Rooms!D31</f>
        <v>Einzelbüro</v>
      </c>
      <c r="C42" s="2" t="s">
        <v>7</v>
      </c>
      <c r="D42" s="2" t="s">
        <v>7</v>
      </c>
      <c r="E42" s="2" t="s">
        <v>8</v>
      </c>
      <c r="F42" s="3">
        <f>Rooms!P31</f>
        <v>1700</v>
      </c>
      <c r="G42" s="2" t="s">
        <v>9</v>
      </c>
    </row>
    <row r="43" spans="1:7" x14ac:dyDescent="0.45">
      <c r="A43" s="2" t="str">
        <f>Rooms!A31</f>
        <v>25DKmW5BbDpRgm_r8VP1E4</v>
      </c>
      <c r="B43" s="2" t="str">
        <f>Rooms!D31</f>
        <v>Einzelbüro</v>
      </c>
      <c r="C43" s="2" t="s">
        <v>10</v>
      </c>
      <c r="D43" s="2" t="s">
        <v>10</v>
      </c>
      <c r="E43" s="2" t="s">
        <v>11</v>
      </c>
      <c r="F43" s="3">
        <f>Rooms!Q31</f>
        <v>120</v>
      </c>
      <c r="G43" s="2" t="s">
        <v>12</v>
      </c>
    </row>
    <row r="44" spans="1:7" x14ac:dyDescent="0.45">
      <c r="A44" s="2" t="str">
        <f>Rooms!A32</f>
        <v>2ahuO8g9nAWgXNPfOxqAcH</v>
      </c>
      <c r="B44" s="2" t="str">
        <f>Rooms!D32</f>
        <v>Gruppenbüro</v>
      </c>
      <c r="C44" s="2" t="s">
        <v>7</v>
      </c>
      <c r="D44" s="2" t="s">
        <v>7</v>
      </c>
      <c r="E44" s="2" t="s">
        <v>8</v>
      </c>
      <c r="F44" s="3">
        <f>Rooms!P32</f>
        <v>3800</v>
      </c>
      <c r="G44" s="2" t="s">
        <v>9</v>
      </c>
    </row>
    <row r="45" spans="1:7" x14ac:dyDescent="0.45">
      <c r="A45" s="2" t="str">
        <f>Rooms!A32</f>
        <v>2ahuO8g9nAWgXNPfOxqAcH</v>
      </c>
      <c r="B45" s="2" t="str">
        <f>Rooms!D32</f>
        <v>Gruppenbüro</v>
      </c>
      <c r="C45" s="2" t="s">
        <v>10</v>
      </c>
      <c r="D45" s="2" t="s">
        <v>10</v>
      </c>
      <c r="E45" s="2" t="s">
        <v>11</v>
      </c>
      <c r="F45" s="3">
        <f>Rooms!Q32</f>
        <v>270</v>
      </c>
      <c r="G45" s="2" t="s">
        <v>12</v>
      </c>
    </row>
    <row r="46" spans="1:7" x14ac:dyDescent="0.45">
      <c r="A46" s="2" t="str">
        <f>Rooms!A33</f>
        <v>0FEj4ooyP1p9fzLNWGJrxo</v>
      </c>
      <c r="B46" s="2" t="str">
        <f>Rooms!D33</f>
        <v>Grossraumbüro</v>
      </c>
      <c r="C46" s="2" t="s">
        <v>7</v>
      </c>
      <c r="D46" s="2" t="s">
        <v>7</v>
      </c>
      <c r="E46" s="2" t="s">
        <v>8</v>
      </c>
      <c r="F46" s="3">
        <f>Rooms!P33</f>
        <v>5000</v>
      </c>
      <c r="G46" s="2" t="s">
        <v>9</v>
      </c>
    </row>
    <row r="47" spans="1:7" x14ac:dyDescent="0.45">
      <c r="A47" s="2" t="str">
        <f>Rooms!A33</f>
        <v>0FEj4ooyP1p9fzLNWGJrxo</v>
      </c>
      <c r="B47" s="2" t="str">
        <f>Rooms!D33</f>
        <v>Grossraumbüro</v>
      </c>
      <c r="C47" s="2" t="s">
        <v>10</v>
      </c>
      <c r="D47" s="2" t="s">
        <v>10</v>
      </c>
      <c r="E47" s="2" t="s">
        <v>11</v>
      </c>
      <c r="F47" s="3">
        <f>Rooms!Q33</f>
        <v>470</v>
      </c>
      <c r="G47" s="2" t="s">
        <v>12</v>
      </c>
    </row>
    <row r="48" spans="1:7" x14ac:dyDescent="0.45">
      <c r="A48" s="2" t="str">
        <f>Rooms!A34</f>
        <v>3wbDXDzzf0jOcow3chbfaR</v>
      </c>
      <c r="B48" s="2" t="str">
        <f>Rooms!D34</f>
        <v>Gruppenbüro</v>
      </c>
      <c r="C48" s="2" t="s">
        <v>7</v>
      </c>
      <c r="D48" s="2" t="s">
        <v>7</v>
      </c>
      <c r="E48" s="2" t="s">
        <v>8</v>
      </c>
      <c r="F48" s="3">
        <f>Rooms!P34</f>
        <v>3800</v>
      </c>
      <c r="G48" s="2" t="s">
        <v>9</v>
      </c>
    </row>
    <row r="49" spans="1:7" x14ac:dyDescent="0.45">
      <c r="A49" s="2" t="str">
        <f>Rooms!A34</f>
        <v>3wbDXDzzf0jOcow3chbfaR</v>
      </c>
      <c r="B49" s="2" t="str">
        <f>Rooms!D34</f>
        <v>Gruppenbüro</v>
      </c>
      <c r="C49" s="2" t="s">
        <v>10</v>
      </c>
      <c r="D49" s="2" t="s">
        <v>10</v>
      </c>
      <c r="E49" s="2" t="s">
        <v>11</v>
      </c>
      <c r="F49" s="3">
        <f>Rooms!Q34</f>
        <v>270</v>
      </c>
      <c r="G49" s="2" t="s">
        <v>12</v>
      </c>
    </row>
    <row r="50" spans="1:7" x14ac:dyDescent="0.45">
      <c r="A50" s="2" t="str">
        <f>Rooms!A35</f>
        <v>0NpEzY8OT02On0zCVFS5Hs</v>
      </c>
      <c r="B50" s="2" t="str">
        <f>Rooms!D35</f>
        <v>Sitzungszimmer</v>
      </c>
      <c r="C50" s="2" t="s">
        <v>7</v>
      </c>
      <c r="D50" s="2" t="s">
        <v>7</v>
      </c>
      <c r="E50" s="2" t="s">
        <v>8</v>
      </c>
      <c r="F50" s="3">
        <f>Rooms!P35</f>
        <v>1500</v>
      </c>
      <c r="G50" s="2" t="s">
        <v>9</v>
      </c>
    </row>
    <row r="51" spans="1:7" x14ac:dyDescent="0.45">
      <c r="A51" s="2" t="str">
        <f>Rooms!A35</f>
        <v>0NpEzY8OT02On0zCVFS5Hs</v>
      </c>
      <c r="B51" s="2" t="str">
        <f>Rooms!D35</f>
        <v>Sitzungszimmer</v>
      </c>
      <c r="C51" s="2" t="s">
        <v>10</v>
      </c>
      <c r="D51" s="2" t="s">
        <v>10</v>
      </c>
      <c r="E51" s="2" t="s">
        <v>11</v>
      </c>
      <c r="F51" s="3">
        <f>Rooms!Q35</f>
        <v>280</v>
      </c>
      <c r="G51" s="2" t="s">
        <v>12</v>
      </c>
    </row>
    <row r="52" spans="1:7" x14ac:dyDescent="0.45">
      <c r="A52" s="2" t="str">
        <f>Rooms!A42</f>
        <v>0LlUX5r1X3JPY8XXWFiCYt</v>
      </c>
      <c r="B52" s="2" t="str">
        <f>Rooms!D42</f>
        <v>Garderobe</v>
      </c>
      <c r="C52" s="2" t="s">
        <v>7</v>
      </c>
      <c r="D52" s="2" t="s">
        <v>7</v>
      </c>
      <c r="E52" s="2" t="s">
        <v>8</v>
      </c>
      <c r="F52" s="3">
        <f>Rooms!P42</f>
        <v>600</v>
      </c>
      <c r="G52" s="2" t="s">
        <v>9</v>
      </c>
    </row>
    <row r="53" spans="1:7" x14ac:dyDescent="0.45">
      <c r="A53" s="2" t="str">
        <f>Rooms!A42</f>
        <v>0LlUX5r1X3JPY8XXWFiCYt</v>
      </c>
      <c r="B53" s="2" t="str">
        <f>Rooms!D42</f>
        <v>Garderobe</v>
      </c>
      <c r="C53" s="2" t="s">
        <v>10</v>
      </c>
      <c r="D53" s="2" t="s">
        <v>10</v>
      </c>
      <c r="E53" s="2" t="s">
        <v>11</v>
      </c>
      <c r="F53" s="3">
        <f>Rooms!Q42</f>
        <v>85</v>
      </c>
      <c r="G53" s="2" t="s">
        <v>12</v>
      </c>
    </row>
    <row r="54" spans="1:7" x14ac:dyDescent="0.45">
      <c r="A54" s="2" t="str">
        <f>Rooms!A42</f>
        <v>0LlUX5r1X3JPY8XXWFiCYt</v>
      </c>
      <c r="B54" s="2" t="str">
        <f>Rooms!D42</f>
        <v>Garderobe</v>
      </c>
      <c r="C54" s="2" t="s">
        <v>13</v>
      </c>
      <c r="D54" s="2" t="s">
        <v>13</v>
      </c>
      <c r="E54" s="2" t="s">
        <v>11</v>
      </c>
      <c r="F54" s="3">
        <f>Rooms!R42</f>
        <v>0.1</v>
      </c>
      <c r="G54" s="2" t="s">
        <v>14</v>
      </c>
    </row>
    <row r="55" spans="1:7" x14ac:dyDescent="0.45">
      <c r="A55" s="2" t="str">
        <f>Rooms!A43</f>
        <v>1FLmg2I$XAnguWrSBdjIRl</v>
      </c>
      <c r="B55" s="2" t="str">
        <f>Rooms!D43</f>
        <v>WC Bad Dusche</v>
      </c>
      <c r="C55" s="2" t="s">
        <v>7</v>
      </c>
      <c r="D55" s="2" t="s">
        <v>7</v>
      </c>
      <c r="E55" s="2" t="s">
        <v>8</v>
      </c>
      <c r="F55" s="3">
        <f>Rooms!P43</f>
        <v>400</v>
      </c>
      <c r="G55" s="2" t="s">
        <v>9</v>
      </c>
    </row>
    <row r="56" spans="1:7" x14ac:dyDescent="0.45">
      <c r="A56" s="2" t="str">
        <f>Rooms!A43</f>
        <v>1FLmg2I$XAnguWrSBdjIRl</v>
      </c>
      <c r="B56" s="2" t="str">
        <f>Rooms!D43</f>
        <v>WC Bad Dusche</v>
      </c>
      <c r="C56" s="2" t="s">
        <v>10</v>
      </c>
      <c r="D56" s="2" t="s">
        <v>10</v>
      </c>
      <c r="E56" s="2" t="s">
        <v>11</v>
      </c>
      <c r="F56" s="3">
        <f>Rooms!Q43</f>
        <v>90</v>
      </c>
      <c r="G56" s="2" t="s">
        <v>12</v>
      </c>
    </row>
    <row r="57" spans="1:7" x14ac:dyDescent="0.45">
      <c r="A57" s="2" t="str">
        <f>Rooms!A43</f>
        <v>1FLmg2I$XAnguWrSBdjIRl</v>
      </c>
      <c r="B57" s="2" t="str">
        <f>Rooms!D43</f>
        <v>WC Bad Dusche</v>
      </c>
      <c r="C57" s="2" t="s">
        <v>13</v>
      </c>
      <c r="D57" s="2" t="s">
        <v>13</v>
      </c>
      <c r="E57" s="2" t="s">
        <v>11</v>
      </c>
      <c r="F57" s="3">
        <f>Rooms!R43</f>
        <v>0.2</v>
      </c>
      <c r="G57" s="2" t="s">
        <v>14</v>
      </c>
    </row>
    <row r="58" spans="1:7" x14ac:dyDescent="0.45">
      <c r="A58" s="2" t="str">
        <f>Rooms!A49</f>
        <v>1kOe4UIsf3bfsztm3YCt3f</v>
      </c>
      <c r="B58" s="2" t="str">
        <f>Rooms!D49</f>
        <v>Sitzungszimmer</v>
      </c>
      <c r="C58" s="2" t="s">
        <v>7</v>
      </c>
      <c r="D58" s="2" t="s">
        <v>7</v>
      </c>
      <c r="E58" s="2" t="s">
        <v>8</v>
      </c>
      <c r="F58" s="3">
        <f>Rooms!P49</f>
        <v>3600</v>
      </c>
      <c r="G58" s="2" t="s">
        <v>9</v>
      </c>
    </row>
    <row r="59" spans="1:7" x14ac:dyDescent="0.45">
      <c r="A59" s="2" t="str">
        <f>Rooms!A49</f>
        <v>1kOe4UIsf3bfsztm3YCt3f</v>
      </c>
      <c r="B59" s="2" t="str">
        <f>Rooms!D49</f>
        <v>Sitzungszimmer</v>
      </c>
      <c r="C59" s="2" t="s">
        <v>10</v>
      </c>
      <c r="D59" s="2" t="s">
        <v>10</v>
      </c>
      <c r="E59" s="2" t="s">
        <v>11</v>
      </c>
      <c r="F59" s="3">
        <f>Rooms!Q49</f>
        <v>680</v>
      </c>
      <c r="G59" s="2" t="s">
        <v>12</v>
      </c>
    </row>
    <row r="60" spans="1:7" x14ac:dyDescent="0.45">
      <c r="A60" s="2" t="str">
        <f>Rooms!A50</f>
        <v>3lnh0HVqz9We$buYKUZl5a</v>
      </c>
      <c r="B60" s="2" t="str">
        <f>Rooms!D50</f>
        <v>Küche / Pausenraum</v>
      </c>
      <c r="C60" s="2" t="s">
        <v>7</v>
      </c>
      <c r="D60" s="2" t="s">
        <v>7</v>
      </c>
      <c r="E60" s="2" t="s">
        <v>8</v>
      </c>
      <c r="F60" s="3">
        <f>Rooms!P50</f>
        <v>3450</v>
      </c>
      <c r="G60" s="2" t="s">
        <v>9</v>
      </c>
    </row>
    <row r="61" spans="1:7" x14ac:dyDescent="0.45">
      <c r="A61" s="2" t="str">
        <f>Rooms!A50</f>
        <v>3lnh0HVqz9We$buYKUZl5a</v>
      </c>
      <c r="B61" s="2" t="str">
        <f>Rooms!D50</f>
        <v>Küche / Pausenraum</v>
      </c>
      <c r="C61" s="2" t="s">
        <v>10</v>
      </c>
      <c r="D61" s="2" t="s">
        <v>10</v>
      </c>
      <c r="E61" s="2" t="s">
        <v>11</v>
      </c>
      <c r="F61" s="3">
        <f>Rooms!Q50</f>
        <v>375</v>
      </c>
      <c r="G61" s="2" t="s">
        <v>12</v>
      </c>
    </row>
    <row r="62" spans="1:7" x14ac:dyDescent="0.45">
      <c r="A62" s="2" t="str">
        <f>Rooms!A50</f>
        <v>3lnh0HVqz9We$buYKUZl5a</v>
      </c>
      <c r="B62" s="2" t="str">
        <f>Rooms!D50</f>
        <v>Küche / Pausenraum</v>
      </c>
      <c r="C62" s="2" t="s">
        <v>13</v>
      </c>
      <c r="D62" s="2" t="s">
        <v>13</v>
      </c>
      <c r="E62" s="2" t="s">
        <v>11</v>
      </c>
      <c r="F62" s="3">
        <f>Rooms!R50</f>
        <v>0.12</v>
      </c>
      <c r="G62" s="2" t="s">
        <v>14</v>
      </c>
    </row>
    <row r="63" spans="1:7" x14ac:dyDescent="0.45">
      <c r="A63" s="2" t="str">
        <f>Rooms!A51</f>
        <v>2cvFHPSVv2GOruxW2tCMZc</v>
      </c>
      <c r="B63" s="2" t="str">
        <f>Rooms!D51</f>
        <v>Laborraum</v>
      </c>
      <c r="C63" s="2" t="s">
        <v>7</v>
      </c>
      <c r="D63" s="2" t="s">
        <v>7</v>
      </c>
      <c r="E63" s="2" t="s">
        <v>8</v>
      </c>
      <c r="F63" s="3">
        <f>Rooms!P51</f>
        <v>2850</v>
      </c>
      <c r="G63" s="2" t="s">
        <v>9</v>
      </c>
    </row>
    <row r="64" spans="1:7" x14ac:dyDescent="0.45">
      <c r="A64" s="2" t="str">
        <f>Rooms!A51</f>
        <v>2cvFHPSVv2GOruxW2tCMZc</v>
      </c>
      <c r="B64" s="2" t="str">
        <f>Rooms!D51</f>
        <v>Laborraum</v>
      </c>
      <c r="C64" s="2" t="s">
        <v>10</v>
      </c>
      <c r="D64" s="2" t="s">
        <v>10</v>
      </c>
      <c r="E64" s="2" t="s">
        <v>11</v>
      </c>
      <c r="F64" s="3">
        <f>Rooms!Q51</f>
        <v>265</v>
      </c>
      <c r="G64" s="2" t="s">
        <v>12</v>
      </c>
    </row>
    <row r="65" spans="1:7" x14ac:dyDescent="0.45">
      <c r="A65" s="2" t="str">
        <f>Rooms!A51</f>
        <v>2cvFHPSVv2GOruxW2tCMZc</v>
      </c>
      <c r="B65" s="2" t="str">
        <f>Rooms!D51</f>
        <v>Laborraum</v>
      </c>
      <c r="C65" s="2" t="s">
        <v>13</v>
      </c>
      <c r="D65" s="2" t="s">
        <v>13</v>
      </c>
      <c r="E65" s="2" t="s">
        <v>11</v>
      </c>
      <c r="F65" s="3">
        <f>Rooms!R51</f>
        <v>0.05</v>
      </c>
      <c r="G65" s="2" t="s">
        <v>14</v>
      </c>
    </row>
    <row r="66" spans="1:7" x14ac:dyDescent="0.45">
      <c r="A66" s="2" t="str">
        <f>Rooms!A52</f>
        <v>1qCFa03a50Ieu_zRRtK_6c</v>
      </c>
      <c r="B66" s="2" t="str">
        <f>Rooms!D52</f>
        <v>Grossraumbüro</v>
      </c>
      <c r="C66" s="2" t="s">
        <v>7</v>
      </c>
      <c r="D66" s="2" t="s">
        <v>7</v>
      </c>
      <c r="E66" s="2" t="s">
        <v>8</v>
      </c>
      <c r="F66" s="3">
        <f>Rooms!P52</f>
        <v>4150</v>
      </c>
      <c r="G66" s="2" t="s">
        <v>9</v>
      </c>
    </row>
    <row r="67" spans="1:7" x14ac:dyDescent="0.45">
      <c r="A67" s="2" t="str">
        <f>Rooms!A52</f>
        <v>1qCFa03a50Ieu_zRRtK_6c</v>
      </c>
      <c r="B67" s="2" t="str">
        <f>Rooms!D52</f>
        <v>Grossraumbüro</v>
      </c>
      <c r="C67" s="2" t="s">
        <v>10</v>
      </c>
      <c r="D67" s="2" t="s">
        <v>10</v>
      </c>
      <c r="E67" s="2" t="s">
        <v>11</v>
      </c>
      <c r="F67" s="3">
        <f>Rooms!Q52</f>
        <v>395</v>
      </c>
      <c r="G67" s="2" t="s">
        <v>12</v>
      </c>
    </row>
    <row r="68" spans="1:7" x14ac:dyDescent="0.45">
      <c r="A68" s="2" t="str">
        <f>Rooms!A53</f>
        <v>0Edx_lA7n27xL1O3fBRKdi</v>
      </c>
      <c r="B68" s="2" t="str">
        <f>Rooms!D53</f>
        <v>Einzelbüro</v>
      </c>
      <c r="C68" s="2" t="s">
        <v>7</v>
      </c>
      <c r="D68" s="2" t="s">
        <v>7</v>
      </c>
      <c r="E68" s="2" t="s">
        <v>8</v>
      </c>
      <c r="F68" s="3">
        <f>Rooms!P53</f>
        <v>1750</v>
      </c>
      <c r="G68" s="2" t="s">
        <v>9</v>
      </c>
    </row>
    <row r="69" spans="1:7" x14ac:dyDescent="0.45">
      <c r="A69" s="2" t="str">
        <f>Rooms!A53</f>
        <v>0Edx_lA7n27xL1O3fBRKdi</v>
      </c>
      <c r="B69" s="2" t="str">
        <f>Rooms!D53</f>
        <v>Einzelbüro</v>
      </c>
      <c r="C69" s="2" t="s">
        <v>10</v>
      </c>
      <c r="D69" s="2" t="s">
        <v>10</v>
      </c>
      <c r="E69" s="2" t="s">
        <v>11</v>
      </c>
      <c r="F69" s="3">
        <f>Rooms!Q53</f>
        <v>125</v>
      </c>
      <c r="G69" s="2" t="s">
        <v>12</v>
      </c>
    </row>
    <row r="70" spans="1:7" x14ac:dyDescent="0.45">
      <c r="A70" s="2" t="str">
        <f>Rooms!A54</f>
        <v>0uJDDHaqj2OBEjYZWIR20V</v>
      </c>
      <c r="B70" s="2" t="str">
        <f>Rooms!D54</f>
        <v>Grossraumbüro</v>
      </c>
      <c r="C70" s="2" t="s">
        <v>7</v>
      </c>
      <c r="D70" s="2" t="s">
        <v>7</v>
      </c>
      <c r="E70" s="2" t="s">
        <v>8</v>
      </c>
      <c r="F70" s="3">
        <f>Rooms!P54</f>
        <v>4850</v>
      </c>
      <c r="G70" s="2" t="s">
        <v>9</v>
      </c>
    </row>
    <row r="71" spans="1:7" x14ac:dyDescent="0.45">
      <c r="A71" s="2" t="str">
        <f>Rooms!A54</f>
        <v>0uJDDHaqj2OBEjYZWIR20V</v>
      </c>
      <c r="B71" s="2" t="str">
        <f>Rooms!D54</f>
        <v>Grossraumbüro</v>
      </c>
      <c r="C71" s="2" t="s">
        <v>10</v>
      </c>
      <c r="D71" s="2" t="s">
        <v>10</v>
      </c>
      <c r="E71" s="2" t="s">
        <v>11</v>
      </c>
      <c r="F71" s="3">
        <f>Rooms!Q54</f>
        <v>470</v>
      </c>
      <c r="G71" s="2" t="s">
        <v>12</v>
      </c>
    </row>
    <row r="72" spans="1:7" x14ac:dyDescent="0.45">
      <c r="A72" s="2" t="str">
        <f>Rooms!A55</f>
        <v>1aInDLaLTEGO8FhAnE7Aws</v>
      </c>
      <c r="B72" s="2" t="str">
        <f>Rooms!D55</f>
        <v>Einzelbüro</v>
      </c>
      <c r="C72" s="2" t="s">
        <v>7</v>
      </c>
      <c r="D72" s="2" t="s">
        <v>7</v>
      </c>
      <c r="E72" s="2" t="s">
        <v>8</v>
      </c>
      <c r="F72" s="3">
        <f>Rooms!P55</f>
        <v>2200</v>
      </c>
      <c r="G72" s="2" t="s">
        <v>9</v>
      </c>
    </row>
    <row r="73" spans="1:7" x14ac:dyDescent="0.45">
      <c r="A73" s="2" t="str">
        <f>Rooms!A55</f>
        <v>1aInDLaLTEGO8FhAnE7Aws</v>
      </c>
      <c r="B73" s="2" t="str">
        <f>Rooms!D55</f>
        <v>Einzelbüro</v>
      </c>
      <c r="C73" s="2" t="s">
        <v>10</v>
      </c>
      <c r="D73" s="2" t="s">
        <v>10</v>
      </c>
      <c r="E73" s="2" t="s">
        <v>11</v>
      </c>
      <c r="F73" s="3">
        <f>Rooms!Q55</f>
        <v>155</v>
      </c>
      <c r="G73" s="2" t="s">
        <v>12</v>
      </c>
    </row>
    <row r="74" spans="1:7" x14ac:dyDescent="0.45">
      <c r="A74" s="2" t="str">
        <f>Rooms!A56</f>
        <v>2sO2Ja0Fn1sPvabENsgKZD</v>
      </c>
      <c r="B74" s="2" t="str">
        <f>Rooms!D56</f>
        <v>Grossraumbüro</v>
      </c>
      <c r="C74" s="2" t="s">
        <v>7</v>
      </c>
      <c r="D74" s="2" t="s">
        <v>7</v>
      </c>
      <c r="E74" s="2" t="s">
        <v>8</v>
      </c>
      <c r="F74" s="3">
        <f>Rooms!P56</f>
        <v>2900</v>
      </c>
      <c r="G74" s="2" t="s">
        <v>9</v>
      </c>
    </row>
    <row r="75" spans="1:7" x14ac:dyDescent="0.45">
      <c r="A75" s="2" t="str">
        <f>Rooms!A56</f>
        <v>2sO2Ja0Fn1sPvabENsgKZD</v>
      </c>
      <c r="B75" s="2" t="str">
        <f>Rooms!D56</f>
        <v>Grossraumbüro</v>
      </c>
      <c r="C75" s="2" t="s">
        <v>10</v>
      </c>
      <c r="D75" s="2" t="s">
        <v>10</v>
      </c>
      <c r="E75" s="2" t="s">
        <v>11</v>
      </c>
      <c r="F75" s="3">
        <f>Rooms!Q56</f>
        <v>290</v>
      </c>
      <c r="G75" s="2" t="s">
        <v>12</v>
      </c>
    </row>
    <row r="76" spans="1:7" x14ac:dyDescent="0.45">
      <c r="A76" s="2" t="str">
        <f>Rooms!A57</f>
        <v>126zlhQzH7oOuwMK1pw89I</v>
      </c>
      <c r="B76" s="2" t="str">
        <f>Rooms!D57</f>
        <v>Sitzungszimmer</v>
      </c>
      <c r="C76" s="2" t="s">
        <v>7</v>
      </c>
      <c r="D76" s="2" t="s">
        <v>7</v>
      </c>
      <c r="E76" s="2" t="s">
        <v>8</v>
      </c>
      <c r="F76" s="3">
        <f>Rooms!P57</f>
        <v>3600</v>
      </c>
      <c r="G76" s="2" t="s">
        <v>9</v>
      </c>
    </row>
    <row r="77" spans="1:7" x14ac:dyDescent="0.45">
      <c r="A77" s="2" t="str">
        <f>Rooms!A57</f>
        <v>126zlhQzH7oOuwMK1pw89I</v>
      </c>
      <c r="B77" s="2" t="str">
        <f>Rooms!D57</f>
        <v>Sitzungszimmer</v>
      </c>
      <c r="C77" s="2" t="s">
        <v>10</v>
      </c>
      <c r="D77" s="2" t="s">
        <v>10</v>
      </c>
      <c r="E77" s="2" t="s">
        <v>11</v>
      </c>
      <c r="F77" s="3">
        <f>Rooms!Q57</f>
        <v>680</v>
      </c>
      <c r="G77" s="2" t="s">
        <v>12</v>
      </c>
    </row>
    <row r="78" spans="1:7" x14ac:dyDescent="0.45">
      <c r="A78" s="2" t="str">
        <f>Rooms!A58</f>
        <v>17Io2Hts95I9gHEWzgvDeg</v>
      </c>
      <c r="B78" s="2" t="str">
        <f>Rooms!D58</f>
        <v>Sitzungszimmer</v>
      </c>
      <c r="C78" s="2" t="s">
        <v>7</v>
      </c>
      <c r="D78" s="2" t="s">
        <v>7</v>
      </c>
      <c r="E78" s="2" t="s">
        <v>8</v>
      </c>
      <c r="F78" s="3">
        <f>Rooms!P58</f>
        <v>1550</v>
      </c>
      <c r="G78" s="2" t="s">
        <v>9</v>
      </c>
    </row>
    <row r="79" spans="1:7" x14ac:dyDescent="0.45">
      <c r="A79" s="2" t="str">
        <f>Rooms!A58</f>
        <v>17Io2Hts95I9gHEWzgvDeg</v>
      </c>
      <c r="B79" s="2" t="str">
        <f>Rooms!D58</f>
        <v>Sitzungszimmer</v>
      </c>
      <c r="C79" s="2" t="s">
        <v>10</v>
      </c>
      <c r="D79" s="2" t="s">
        <v>10</v>
      </c>
      <c r="E79" s="2" t="s">
        <v>11</v>
      </c>
      <c r="F79" s="3">
        <f>Rooms!Q58</f>
        <v>320</v>
      </c>
      <c r="G79" s="2" t="s">
        <v>12</v>
      </c>
    </row>
    <row r="80" spans="1:7" x14ac:dyDescent="0.45">
      <c r="A80" s="2" t="str">
        <f>Rooms!A59</f>
        <v>1hr6l4g7DDbOgIq0bX27Xn</v>
      </c>
      <c r="B80" s="2" t="str">
        <f>Rooms!D59</f>
        <v>Gruppenbüro</v>
      </c>
      <c r="C80" s="2" t="s">
        <v>7</v>
      </c>
      <c r="D80" s="2" t="s">
        <v>7</v>
      </c>
      <c r="E80" s="2" t="s">
        <v>8</v>
      </c>
      <c r="F80" s="3">
        <f>Rooms!P59</f>
        <v>3800</v>
      </c>
      <c r="G80" s="2" t="s">
        <v>9</v>
      </c>
    </row>
    <row r="81" spans="1:7" x14ac:dyDescent="0.45">
      <c r="A81" s="2" t="str">
        <f>Rooms!A59</f>
        <v>1hr6l4g7DDbOgIq0bX27Xn</v>
      </c>
      <c r="B81" s="2" t="str">
        <f>Rooms!D59</f>
        <v>Gruppenbüro</v>
      </c>
      <c r="C81" s="2" t="s">
        <v>10</v>
      </c>
      <c r="D81" s="2" t="s">
        <v>10</v>
      </c>
      <c r="E81" s="2" t="s">
        <v>11</v>
      </c>
      <c r="F81" s="3">
        <f>Rooms!Q59</f>
        <v>270</v>
      </c>
      <c r="G81" s="2" t="s">
        <v>12</v>
      </c>
    </row>
    <row r="82" spans="1:7" x14ac:dyDescent="0.45">
      <c r="A82" s="2" t="str">
        <f>Rooms!A60</f>
        <v>1Z2_5Q$ovC5xywCbSXXBf5</v>
      </c>
      <c r="B82" s="2" t="str">
        <f>Rooms!D60</f>
        <v>Gruppenbüro</v>
      </c>
      <c r="C82" s="2" t="s">
        <v>7</v>
      </c>
      <c r="D82" s="2" t="s">
        <v>7</v>
      </c>
      <c r="E82" s="2" t="s">
        <v>8</v>
      </c>
      <c r="F82" s="3">
        <f>Rooms!P60</f>
        <v>3800</v>
      </c>
      <c r="G82" s="2" t="s">
        <v>9</v>
      </c>
    </row>
    <row r="83" spans="1:7" x14ac:dyDescent="0.45">
      <c r="A83" s="2" t="str">
        <f>Rooms!A60</f>
        <v>1Z2_5Q$ovC5xywCbSXXBf5</v>
      </c>
      <c r="B83" s="2" t="str">
        <f>Rooms!D60</f>
        <v>Gruppenbüro</v>
      </c>
      <c r="C83" s="2" t="s">
        <v>10</v>
      </c>
      <c r="D83" s="2" t="s">
        <v>10</v>
      </c>
      <c r="E83" s="2" t="s">
        <v>11</v>
      </c>
      <c r="F83" s="3">
        <f>Rooms!Q60</f>
        <v>270</v>
      </c>
      <c r="G83" s="2" t="s">
        <v>12</v>
      </c>
    </row>
    <row r="84" spans="1:7" x14ac:dyDescent="0.45">
      <c r="A84" s="2" t="str">
        <f>Rooms!A61</f>
        <v>1WIC1mey9EKQTZ_pjd_cXN</v>
      </c>
      <c r="B84" s="2" t="str">
        <f>Rooms!D61</f>
        <v>Einzelbüro</v>
      </c>
      <c r="C84" s="2" t="s">
        <v>7</v>
      </c>
      <c r="D84" s="2" t="s">
        <v>7</v>
      </c>
      <c r="E84" s="2" t="s">
        <v>8</v>
      </c>
      <c r="F84" s="3">
        <f>Rooms!P61</f>
        <v>1700</v>
      </c>
      <c r="G84" s="2" t="s">
        <v>9</v>
      </c>
    </row>
    <row r="85" spans="1:7" x14ac:dyDescent="0.45">
      <c r="A85" s="2" t="str">
        <f>Rooms!A61</f>
        <v>1WIC1mey9EKQTZ_pjd_cXN</v>
      </c>
      <c r="B85" s="2" t="str">
        <f>Rooms!D61</f>
        <v>Einzelbüro</v>
      </c>
      <c r="C85" s="2" t="s">
        <v>10</v>
      </c>
      <c r="D85" s="2" t="s">
        <v>10</v>
      </c>
      <c r="E85" s="2" t="s">
        <v>11</v>
      </c>
      <c r="F85" s="3">
        <f>Rooms!Q61</f>
        <v>120</v>
      </c>
      <c r="G85" s="2" t="s">
        <v>12</v>
      </c>
    </row>
    <row r="86" spans="1:7" x14ac:dyDescent="0.45">
      <c r="A86" s="2" t="str">
        <f>Rooms!A62</f>
        <v>1vDsO_9E579gQeaTViU$sn</v>
      </c>
      <c r="B86" s="2" t="str">
        <f>Rooms!D62</f>
        <v>Gruppenbüro</v>
      </c>
      <c r="C86" s="2" t="s">
        <v>7</v>
      </c>
      <c r="D86" s="2" t="s">
        <v>7</v>
      </c>
      <c r="E86" s="2" t="s">
        <v>8</v>
      </c>
      <c r="F86" s="3">
        <f>Rooms!P62</f>
        <v>3800</v>
      </c>
      <c r="G86" s="2" t="s">
        <v>9</v>
      </c>
    </row>
    <row r="87" spans="1:7" x14ac:dyDescent="0.45">
      <c r="A87" s="2" t="str">
        <f>Rooms!A62</f>
        <v>1vDsO_9E579gQeaTViU$sn</v>
      </c>
      <c r="B87" s="2" t="str">
        <f>Rooms!D62</f>
        <v>Gruppenbüro</v>
      </c>
      <c r="C87" s="2" t="s">
        <v>10</v>
      </c>
      <c r="D87" s="2" t="s">
        <v>10</v>
      </c>
      <c r="E87" s="2" t="s">
        <v>11</v>
      </c>
      <c r="F87" s="3">
        <f>Rooms!Q62</f>
        <v>270</v>
      </c>
      <c r="G87" s="2" t="s">
        <v>12</v>
      </c>
    </row>
    <row r="88" spans="1:7" x14ac:dyDescent="0.45">
      <c r="A88" s="2" t="str">
        <f>Rooms!A63</f>
        <v>19ALEAFkP6Yvncl0c8d7fl</v>
      </c>
      <c r="B88" s="2" t="str">
        <f>Rooms!D63</f>
        <v>Grossraumbüro</v>
      </c>
      <c r="C88" s="2" t="s">
        <v>7</v>
      </c>
      <c r="D88" s="2" t="s">
        <v>7</v>
      </c>
      <c r="E88" s="2" t="s">
        <v>8</v>
      </c>
      <c r="F88" s="3">
        <f>Rooms!P63</f>
        <v>5000</v>
      </c>
      <c r="G88" s="2" t="s">
        <v>9</v>
      </c>
    </row>
    <row r="89" spans="1:7" x14ac:dyDescent="0.45">
      <c r="A89" s="2" t="str">
        <f>Rooms!A63</f>
        <v>19ALEAFkP6Yvncl0c8d7fl</v>
      </c>
      <c r="B89" s="2" t="str">
        <f>Rooms!D63</f>
        <v>Grossraumbüro</v>
      </c>
      <c r="C89" s="2" t="s">
        <v>10</v>
      </c>
      <c r="D89" s="2" t="s">
        <v>10</v>
      </c>
      <c r="E89" s="2" t="s">
        <v>11</v>
      </c>
      <c r="F89" s="3">
        <f>Rooms!Q63</f>
        <v>470</v>
      </c>
      <c r="G89" s="2" t="s">
        <v>12</v>
      </c>
    </row>
    <row r="90" spans="1:7" x14ac:dyDescent="0.45">
      <c r="A90" s="2" t="str">
        <f>Rooms!A64</f>
        <v>1_Ydnth454jRS6rWTfK_ew</v>
      </c>
      <c r="B90" s="2" t="str">
        <f>Rooms!D64</f>
        <v>Gruppenbüro</v>
      </c>
      <c r="C90" s="2" t="s">
        <v>7</v>
      </c>
      <c r="D90" s="2" t="s">
        <v>7</v>
      </c>
      <c r="E90" s="2" t="s">
        <v>8</v>
      </c>
      <c r="F90" s="3">
        <f>Rooms!P64</f>
        <v>3800</v>
      </c>
      <c r="G90" s="2" t="s">
        <v>9</v>
      </c>
    </row>
    <row r="91" spans="1:7" x14ac:dyDescent="0.45">
      <c r="A91" s="2" t="str">
        <f>Rooms!A64</f>
        <v>1_Ydnth454jRS6rWTfK_ew</v>
      </c>
      <c r="B91" s="2" t="str">
        <f>Rooms!D64</f>
        <v>Gruppenbüro</v>
      </c>
      <c r="C91" s="2" t="s">
        <v>10</v>
      </c>
      <c r="D91" s="2" t="s">
        <v>10</v>
      </c>
      <c r="E91" s="2" t="s">
        <v>11</v>
      </c>
      <c r="F91" s="3">
        <f>Rooms!Q64</f>
        <v>270</v>
      </c>
      <c r="G91" s="2" t="s">
        <v>12</v>
      </c>
    </row>
    <row r="92" spans="1:7" x14ac:dyDescent="0.45">
      <c r="A92" s="2" t="str">
        <f>Rooms!A65</f>
        <v>0ekbaY4JD1gBRg3osTm9LZ</v>
      </c>
      <c r="B92" s="2" t="str">
        <f>Rooms!D65</f>
        <v>Sitzungszimmer</v>
      </c>
      <c r="C92" s="2" t="s">
        <v>7</v>
      </c>
      <c r="D92" s="2" t="s">
        <v>7</v>
      </c>
      <c r="E92" s="2" t="s">
        <v>8</v>
      </c>
      <c r="F92" s="3">
        <f>Rooms!P65</f>
        <v>1500</v>
      </c>
      <c r="G92" s="2" t="s">
        <v>9</v>
      </c>
    </row>
    <row r="93" spans="1:7" x14ac:dyDescent="0.45">
      <c r="A93" s="2" t="str">
        <f>Rooms!A65</f>
        <v>0ekbaY4JD1gBRg3osTm9LZ</v>
      </c>
      <c r="B93" s="2" t="str">
        <f>Rooms!D65</f>
        <v>Sitzungszimmer</v>
      </c>
      <c r="C93" s="2" t="s">
        <v>10</v>
      </c>
      <c r="D93" s="2" t="s">
        <v>10</v>
      </c>
      <c r="E93" s="2" t="s">
        <v>11</v>
      </c>
      <c r="F93" s="3">
        <f>Rooms!Q65</f>
        <v>280</v>
      </c>
      <c r="G93" s="2" t="s">
        <v>12</v>
      </c>
    </row>
    <row r="94" spans="1:7" x14ac:dyDescent="0.45">
      <c r="A94" s="2" t="str">
        <f>Rooms!A72</f>
        <v>02jOKnhlr4288_RpavstYK</v>
      </c>
      <c r="B94" s="2" t="str">
        <f>Rooms!D72</f>
        <v>Garderobe</v>
      </c>
      <c r="C94" s="2" t="s">
        <v>7</v>
      </c>
      <c r="D94" s="2" t="s">
        <v>7</v>
      </c>
      <c r="E94" s="2" t="s">
        <v>8</v>
      </c>
      <c r="F94" s="3">
        <f>Rooms!P72</f>
        <v>600</v>
      </c>
      <c r="G94" s="2" t="s">
        <v>9</v>
      </c>
    </row>
    <row r="95" spans="1:7" x14ac:dyDescent="0.45">
      <c r="A95" s="2" t="str">
        <f>Rooms!A72</f>
        <v>02jOKnhlr4288_RpavstYK</v>
      </c>
      <c r="B95" s="2" t="str">
        <f>Rooms!D72</f>
        <v>Garderobe</v>
      </c>
      <c r="C95" s="2" t="s">
        <v>10</v>
      </c>
      <c r="D95" s="2" t="s">
        <v>10</v>
      </c>
      <c r="E95" s="2" t="s">
        <v>11</v>
      </c>
      <c r="F95" s="3">
        <f>Rooms!Q72</f>
        <v>85</v>
      </c>
      <c r="G95" s="2" t="s">
        <v>12</v>
      </c>
    </row>
    <row r="96" spans="1:7" x14ac:dyDescent="0.45">
      <c r="A96" s="2" t="str">
        <f>Rooms!A72</f>
        <v>02jOKnhlr4288_RpavstYK</v>
      </c>
      <c r="B96" s="2" t="str">
        <f>Rooms!D72</f>
        <v>Garderobe</v>
      </c>
      <c r="C96" s="2" t="s">
        <v>13</v>
      </c>
      <c r="D96" s="2" t="s">
        <v>13</v>
      </c>
      <c r="E96" s="2" t="s">
        <v>11</v>
      </c>
      <c r="F96" s="3">
        <f>Rooms!R72</f>
        <v>0.1</v>
      </c>
      <c r="G96" s="2" t="s">
        <v>14</v>
      </c>
    </row>
    <row r="97" spans="1:7" x14ac:dyDescent="0.45">
      <c r="A97" s="2" t="str">
        <f>Rooms!A73</f>
        <v>2H0QiOBf52rgW7Qtn44C6V</v>
      </c>
      <c r="B97" s="2" t="str">
        <f>Rooms!D73</f>
        <v>WC Bad Dusche</v>
      </c>
      <c r="C97" s="2" t="s">
        <v>7</v>
      </c>
      <c r="D97" s="2" t="s">
        <v>7</v>
      </c>
      <c r="E97" s="2" t="s">
        <v>8</v>
      </c>
      <c r="F97" s="3">
        <f>Rooms!P73</f>
        <v>400</v>
      </c>
      <c r="G97" s="2" t="s">
        <v>9</v>
      </c>
    </row>
    <row r="98" spans="1:7" x14ac:dyDescent="0.45">
      <c r="A98" s="2" t="str">
        <f>Rooms!A73</f>
        <v>2H0QiOBf52rgW7Qtn44C6V</v>
      </c>
      <c r="B98" s="2" t="str">
        <f>Rooms!D73</f>
        <v>WC Bad Dusche</v>
      </c>
      <c r="C98" s="2" t="s">
        <v>10</v>
      </c>
      <c r="D98" s="2" t="s">
        <v>10</v>
      </c>
      <c r="E98" s="2" t="s">
        <v>11</v>
      </c>
      <c r="F98" s="3">
        <f>Rooms!Q73</f>
        <v>90</v>
      </c>
      <c r="G98" s="2" t="s">
        <v>12</v>
      </c>
    </row>
    <row r="99" spans="1:7" x14ac:dyDescent="0.45">
      <c r="A99" s="2" t="str">
        <f>Rooms!A73</f>
        <v>2H0QiOBf52rgW7Qtn44C6V</v>
      </c>
      <c r="B99" s="2" t="str">
        <f>Rooms!D73</f>
        <v>WC Bad Dusche</v>
      </c>
      <c r="C99" s="2" t="s">
        <v>13</v>
      </c>
      <c r="D99" s="2" t="s">
        <v>13</v>
      </c>
      <c r="E99" s="2" t="s">
        <v>11</v>
      </c>
      <c r="F99" s="3">
        <f>Rooms!R73</f>
        <v>0.2</v>
      </c>
      <c r="G99" s="2" t="s">
        <v>14</v>
      </c>
    </row>
    <row r="100" spans="1:7" x14ac:dyDescent="0.45">
      <c r="A100" s="2" t="str">
        <f>Rooms!A79</f>
        <v>1jZ5QUYN95QBjToVg_DPGY</v>
      </c>
      <c r="B100" s="2" t="str">
        <f>Rooms!D79</f>
        <v>Sitzungszimmer</v>
      </c>
      <c r="C100" s="2" t="s">
        <v>7</v>
      </c>
      <c r="D100" s="2" t="s">
        <v>7</v>
      </c>
      <c r="E100" s="2" t="s">
        <v>8</v>
      </c>
      <c r="F100" s="3">
        <f>Rooms!P79</f>
        <v>3600</v>
      </c>
      <c r="G100" s="2" t="s">
        <v>9</v>
      </c>
    </row>
    <row r="101" spans="1:7" x14ac:dyDescent="0.45">
      <c r="A101" s="2" t="str">
        <f>Rooms!A79</f>
        <v>1jZ5QUYN95QBjToVg_DPGY</v>
      </c>
      <c r="B101" s="2" t="str">
        <f>Rooms!D79</f>
        <v>Sitzungszimmer</v>
      </c>
      <c r="C101" s="2" t="s">
        <v>10</v>
      </c>
      <c r="D101" s="2" t="s">
        <v>10</v>
      </c>
      <c r="E101" s="2" t="s">
        <v>11</v>
      </c>
      <c r="F101" s="3">
        <f>Rooms!Q79</f>
        <v>680</v>
      </c>
      <c r="G101" s="2" t="s">
        <v>12</v>
      </c>
    </row>
    <row r="102" spans="1:7" x14ac:dyDescent="0.45">
      <c r="A102" s="2" t="str">
        <f>Rooms!A80</f>
        <v>2PeGESusj8Th0NXnlF1Ukl</v>
      </c>
      <c r="B102" s="2" t="str">
        <f>Rooms!D80</f>
        <v>Küche / Pausenraum</v>
      </c>
      <c r="C102" s="2" t="s">
        <v>7</v>
      </c>
      <c r="D102" s="2" t="s">
        <v>7</v>
      </c>
      <c r="E102" s="2" t="s">
        <v>8</v>
      </c>
      <c r="F102" s="3">
        <f>Rooms!P80</f>
        <v>3450</v>
      </c>
      <c r="G102" s="2" t="s">
        <v>9</v>
      </c>
    </row>
    <row r="103" spans="1:7" x14ac:dyDescent="0.45">
      <c r="A103" s="2" t="str">
        <f>Rooms!A80</f>
        <v>2PeGESusj8Th0NXnlF1Ukl</v>
      </c>
      <c r="B103" s="2" t="str">
        <f>Rooms!D80</f>
        <v>Küche / Pausenraum</v>
      </c>
      <c r="C103" s="2" t="s">
        <v>10</v>
      </c>
      <c r="D103" s="2" t="s">
        <v>10</v>
      </c>
      <c r="E103" s="2" t="s">
        <v>11</v>
      </c>
      <c r="F103" s="3">
        <f>Rooms!Q80</f>
        <v>375</v>
      </c>
      <c r="G103" s="2" t="s">
        <v>12</v>
      </c>
    </row>
    <row r="104" spans="1:7" x14ac:dyDescent="0.45">
      <c r="A104" s="2" t="str">
        <f>Rooms!A80</f>
        <v>2PeGESusj8Th0NXnlF1Ukl</v>
      </c>
      <c r="B104" s="2" t="str">
        <f>Rooms!D80</f>
        <v>Küche / Pausenraum</v>
      </c>
      <c r="C104" s="2" t="s">
        <v>13</v>
      </c>
      <c r="D104" s="2" t="s">
        <v>13</v>
      </c>
      <c r="E104" s="2" t="s">
        <v>11</v>
      </c>
      <c r="F104" s="3">
        <f>Rooms!R80</f>
        <v>0.12</v>
      </c>
      <c r="G104" s="2" t="s">
        <v>14</v>
      </c>
    </row>
    <row r="105" spans="1:7" x14ac:dyDescent="0.45">
      <c r="A105" s="2" t="str">
        <f>Rooms!A81</f>
        <v>14GsnpEA50IuDhLnWpxh1X</v>
      </c>
      <c r="B105" s="2" t="str">
        <f>Rooms!D81</f>
        <v>Laborraum</v>
      </c>
      <c r="C105" s="2" t="s">
        <v>7</v>
      </c>
      <c r="D105" s="2" t="s">
        <v>7</v>
      </c>
      <c r="E105" s="2" t="s">
        <v>8</v>
      </c>
      <c r="F105" s="3">
        <f>Rooms!P81</f>
        <v>2850</v>
      </c>
      <c r="G105" s="2" t="s">
        <v>9</v>
      </c>
    </row>
    <row r="106" spans="1:7" x14ac:dyDescent="0.45">
      <c r="A106" s="2" t="str">
        <f>Rooms!A81</f>
        <v>14GsnpEA50IuDhLnWpxh1X</v>
      </c>
      <c r="B106" s="2" t="str">
        <f>Rooms!D81</f>
        <v>Laborraum</v>
      </c>
      <c r="C106" s="2" t="s">
        <v>10</v>
      </c>
      <c r="D106" s="2" t="s">
        <v>10</v>
      </c>
      <c r="E106" s="2" t="s">
        <v>11</v>
      </c>
      <c r="F106" s="3">
        <f>Rooms!Q81</f>
        <v>265</v>
      </c>
      <c r="G106" s="2" t="s">
        <v>12</v>
      </c>
    </row>
    <row r="107" spans="1:7" x14ac:dyDescent="0.45">
      <c r="A107" s="2" t="str">
        <f>Rooms!A81</f>
        <v>14GsnpEA50IuDhLnWpxh1X</v>
      </c>
      <c r="B107" s="2" t="str">
        <f>Rooms!D81</f>
        <v>Laborraum</v>
      </c>
      <c r="C107" s="2" t="s">
        <v>13</v>
      </c>
      <c r="D107" s="2" t="s">
        <v>13</v>
      </c>
      <c r="E107" s="2" t="s">
        <v>11</v>
      </c>
      <c r="F107" s="3">
        <f>Rooms!R81</f>
        <v>0.05</v>
      </c>
      <c r="G107" s="2" t="s">
        <v>14</v>
      </c>
    </row>
    <row r="108" spans="1:7" x14ac:dyDescent="0.45">
      <c r="A108" s="2" t="str">
        <f>Rooms!A82</f>
        <v>1uhntHvVHFP8Vt1mwfuPTC</v>
      </c>
      <c r="B108" s="2" t="str">
        <f>Rooms!D82</f>
        <v>Grossraumbüro</v>
      </c>
      <c r="C108" s="2" t="s">
        <v>7</v>
      </c>
      <c r="D108" s="2" t="s">
        <v>7</v>
      </c>
      <c r="E108" s="2" t="s">
        <v>8</v>
      </c>
      <c r="F108" s="3">
        <f>Rooms!P82</f>
        <v>4150</v>
      </c>
      <c r="G108" s="2" t="s">
        <v>9</v>
      </c>
    </row>
    <row r="109" spans="1:7" x14ac:dyDescent="0.45">
      <c r="A109" s="2" t="str">
        <f>Rooms!A82</f>
        <v>1uhntHvVHFP8Vt1mwfuPTC</v>
      </c>
      <c r="B109" s="2" t="str">
        <f>Rooms!D82</f>
        <v>Grossraumbüro</v>
      </c>
      <c r="C109" s="2" t="s">
        <v>10</v>
      </c>
      <c r="D109" s="2" t="s">
        <v>10</v>
      </c>
      <c r="E109" s="2" t="s">
        <v>11</v>
      </c>
      <c r="F109" s="3">
        <f>Rooms!Q82</f>
        <v>395</v>
      </c>
      <c r="G109" s="2" t="s">
        <v>12</v>
      </c>
    </row>
    <row r="110" spans="1:7" x14ac:dyDescent="0.45">
      <c r="A110" s="2" t="str">
        <f>Rooms!A83</f>
        <v>1oWAI1Q9v7wuhHbBOyjZGi</v>
      </c>
      <c r="B110" s="2" t="str">
        <f>Rooms!D83</f>
        <v>Einzelbüro</v>
      </c>
      <c r="C110" s="2" t="s">
        <v>7</v>
      </c>
      <c r="D110" s="2" t="s">
        <v>7</v>
      </c>
      <c r="E110" s="2" t="s">
        <v>8</v>
      </c>
      <c r="F110" s="3">
        <f>Rooms!P83</f>
        <v>1750</v>
      </c>
      <c r="G110" s="2" t="s">
        <v>9</v>
      </c>
    </row>
    <row r="111" spans="1:7" x14ac:dyDescent="0.45">
      <c r="A111" s="2" t="str">
        <f>Rooms!A83</f>
        <v>1oWAI1Q9v7wuhHbBOyjZGi</v>
      </c>
      <c r="B111" s="2" t="str">
        <f>Rooms!D83</f>
        <v>Einzelbüro</v>
      </c>
      <c r="C111" s="2" t="s">
        <v>10</v>
      </c>
      <c r="D111" s="2" t="s">
        <v>10</v>
      </c>
      <c r="E111" s="2" t="s">
        <v>11</v>
      </c>
      <c r="F111" s="3">
        <f>Rooms!Q83</f>
        <v>125</v>
      </c>
      <c r="G111" s="2" t="s">
        <v>12</v>
      </c>
    </row>
    <row r="112" spans="1:7" x14ac:dyDescent="0.45">
      <c r="A112" s="2" t="str">
        <f>Rooms!A84</f>
        <v>2alSUWKlnEthoswo$PRPkY</v>
      </c>
      <c r="B112" s="2" t="str">
        <f>Rooms!D84</f>
        <v>Grossraumbüro</v>
      </c>
      <c r="C112" s="2" t="s">
        <v>7</v>
      </c>
      <c r="D112" s="2" t="s">
        <v>7</v>
      </c>
      <c r="E112" s="2" t="s">
        <v>8</v>
      </c>
      <c r="F112" s="3">
        <f>Rooms!P84</f>
        <v>4850</v>
      </c>
      <c r="G112" s="2" t="s">
        <v>9</v>
      </c>
    </row>
    <row r="113" spans="1:7" x14ac:dyDescent="0.45">
      <c r="A113" s="2" t="str">
        <f>Rooms!A84</f>
        <v>2alSUWKlnEthoswo$PRPkY</v>
      </c>
      <c r="B113" s="2" t="str">
        <f>Rooms!D84</f>
        <v>Grossraumbüro</v>
      </c>
      <c r="C113" s="2" t="s">
        <v>10</v>
      </c>
      <c r="D113" s="2" t="s">
        <v>10</v>
      </c>
      <c r="E113" s="2" t="s">
        <v>11</v>
      </c>
      <c r="F113" s="3">
        <f>Rooms!Q84</f>
        <v>470</v>
      </c>
      <c r="G113" s="2" t="s">
        <v>12</v>
      </c>
    </row>
    <row r="114" spans="1:7" x14ac:dyDescent="0.45">
      <c r="A114" s="2" t="str">
        <f>Rooms!A85</f>
        <v>3yN9_Xv1XFGuydBbvrKb2I</v>
      </c>
      <c r="B114" s="2" t="str">
        <f>Rooms!D85</f>
        <v>Einzelbüro</v>
      </c>
      <c r="C114" s="2" t="s">
        <v>7</v>
      </c>
      <c r="D114" s="2" t="s">
        <v>7</v>
      </c>
      <c r="E114" s="2" t="s">
        <v>8</v>
      </c>
      <c r="F114" s="3">
        <f>Rooms!P85</f>
        <v>2200</v>
      </c>
      <c r="G114" s="2" t="s">
        <v>9</v>
      </c>
    </row>
    <row r="115" spans="1:7" x14ac:dyDescent="0.45">
      <c r="A115" s="2" t="str">
        <f>Rooms!A85</f>
        <v>3yN9_Xv1XFGuydBbvrKb2I</v>
      </c>
      <c r="B115" s="2" t="str">
        <f>Rooms!D85</f>
        <v>Einzelbüro</v>
      </c>
      <c r="C115" s="2" t="s">
        <v>10</v>
      </c>
      <c r="D115" s="2" t="s">
        <v>10</v>
      </c>
      <c r="E115" s="2" t="s">
        <v>11</v>
      </c>
      <c r="F115" s="3">
        <f>Rooms!Q85</f>
        <v>155</v>
      </c>
      <c r="G115" s="2" t="s">
        <v>12</v>
      </c>
    </row>
    <row r="116" spans="1:7" x14ac:dyDescent="0.45">
      <c r="A116" s="2" t="str">
        <f>Rooms!A86</f>
        <v>12DwbiVxj8VuJtf4$JBDRn</v>
      </c>
      <c r="B116" s="2" t="str">
        <f>Rooms!D86</f>
        <v>Grossraumbüro</v>
      </c>
      <c r="C116" s="2" t="s">
        <v>7</v>
      </c>
      <c r="D116" s="2" t="s">
        <v>7</v>
      </c>
      <c r="E116" s="2" t="s">
        <v>8</v>
      </c>
      <c r="F116" s="3">
        <f>Rooms!P86</f>
        <v>2900</v>
      </c>
      <c r="G116" s="2" t="s">
        <v>9</v>
      </c>
    </row>
    <row r="117" spans="1:7" x14ac:dyDescent="0.45">
      <c r="A117" s="2" t="str">
        <f>Rooms!A86</f>
        <v>12DwbiVxj8VuJtf4$JBDRn</v>
      </c>
      <c r="B117" s="2" t="str">
        <f>Rooms!D86</f>
        <v>Grossraumbüro</v>
      </c>
      <c r="C117" s="2" t="s">
        <v>10</v>
      </c>
      <c r="D117" s="2" t="s">
        <v>10</v>
      </c>
      <c r="E117" s="2" t="s">
        <v>11</v>
      </c>
      <c r="F117" s="3">
        <f>Rooms!Q86</f>
        <v>290</v>
      </c>
      <c r="G117" s="2" t="s">
        <v>12</v>
      </c>
    </row>
    <row r="118" spans="1:7" x14ac:dyDescent="0.45">
      <c r="A118" s="2" t="str">
        <f>Rooms!A87</f>
        <v>3Hr71sZj9BVQKrp0Y4vHw_</v>
      </c>
      <c r="B118" s="2" t="str">
        <f>Rooms!D87</f>
        <v>Sitzungszimmer</v>
      </c>
      <c r="C118" s="2" t="s">
        <v>7</v>
      </c>
      <c r="D118" s="2" t="s">
        <v>7</v>
      </c>
      <c r="E118" s="2" t="s">
        <v>8</v>
      </c>
      <c r="F118" s="3">
        <f>Rooms!P87</f>
        <v>3600</v>
      </c>
      <c r="G118" s="2" t="s">
        <v>9</v>
      </c>
    </row>
    <row r="119" spans="1:7" x14ac:dyDescent="0.45">
      <c r="A119" s="2" t="str">
        <f>Rooms!A87</f>
        <v>3Hr71sZj9BVQKrp0Y4vHw_</v>
      </c>
      <c r="B119" s="2" t="str">
        <f>Rooms!D87</f>
        <v>Sitzungszimmer</v>
      </c>
      <c r="C119" s="2" t="s">
        <v>10</v>
      </c>
      <c r="D119" s="2" t="s">
        <v>10</v>
      </c>
      <c r="E119" s="2" t="s">
        <v>11</v>
      </c>
      <c r="F119" s="3">
        <f>Rooms!Q87</f>
        <v>680</v>
      </c>
      <c r="G119" s="2" t="s">
        <v>12</v>
      </c>
    </row>
    <row r="120" spans="1:7" x14ac:dyDescent="0.45">
      <c r="A120" s="2" t="str">
        <f>Rooms!A88</f>
        <v>2ZcOAyGNj7x9Xm78qHCjOh</v>
      </c>
      <c r="B120" s="2" t="str">
        <f>Rooms!D88</f>
        <v>Sitzungszimmer</v>
      </c>
      <c r="C120" s="2" t="s">
        <v>7</v>
      </c>
      <c r="D120" s="2" t="s">
        <v>7</v>
      </c>
      <c r="E120" s="2" t="s">
        <v>8</v>
      </c>
      <c r="F120" s="3">
        <f>Rooms!P88</f>
        <v>1550</v>
      </c>
      <c r="G120" s="2" t="s">
        <v>9</v>
      </c>
    </row>
    <row r="121" spans="1:7" x14ac:dyDescent="0.45">
      <c r="A121" s="2" t="str">
        <f>Rooms!A88</f>
        <v>2ZcOAyGNj7x9Xm78qHCjOh</v>
      </c>
      <c r="B121" s="2" t="str">
        <f>Rooms!D88</f>
        <v>Sitzungszimmer</v>
      </c>
      <c r="C121" s="2" t="s">
        <v>10</v>
      </c>
      <c r="D121" s="2" t="s">
        <v>10</v>
      </c>
      <c r="E121" s="2" t="s">
        <v>11</v>
      </c>
      <c r="F121" s="3">
        <f>Rooms!Q88</f>
        <v>320</v>
      </c>
      <c r="G121" s="2" t="s">
        <v>12</v>
      </c>
    </row>
    <row r="122" spans="1:7" x14ac:dyDescent="0.45">
      <c r="A122" s="2" t="str">
        <f>Rooms!A89</f>
        <v>1jNl__dP16hACFn5J7kor7</v>
      </c>
      <c r="B122" s="2" t="str">
        <f>Rooms!D89</f>
        <v>Gruppenbüro</v>
      </c>
      <c r="C122" s="2" t="s">
        <v>7</v>
      </c>
      <c r="D122" s="2" t="s">
        <v>7</v>
      </c>
      <c r="E122" s="2" t="s">
        <v>8</v>
      </c>
      <c r="F122" s="3">
        <f>Rooms!P89</f>
        <v>3800</v>
      </c>
      <c r="G122" s="2" t="s">
        <v>9</v>
      </c>
    </row>
    <row r="123" spans="1:7" x14ac:dyDescent="0.45">
      <c r="A123" s="2" t="str">
        <f>Rooms!A89</f>
        <v>1jNl__dP16hACFn5J7kor7</v>
      </c>
      <c r="B123" s="2" t="str">
        <f>Rooms!D89</f>
        <v>Gruppenbüro</v>
      </c>
      <c r="C123" s="2" t="s">
        <v>10</v>
      </c>
      <c r="D123" s="2" t="s">
        <v>10</v>
      </c>
      <c r="E123" s="2" t="s">
        <v>11</v>
      </c>
      <c r="F123" s="3">
        <f>Rooms!Q89</f>
        <v>270</v>
      </c>
      <c r="G123" s="2" t="s">
        <v>12</v>
      </c>
    </row>
    <row r="124" spans="1:7" x14ac:dyDescent="0.45">
      <c r="A124" s="2" t="str">
        <f>Rooms!A90</f>
        <v>1bChNTqYT7DfOrORFtqCpx</v>
      </c>
      <c r="B124" s="2" t="str">
        <f>Rooms!D90</f>
        <v>Gruppenbüro</v>
      </c>
      <c r="C124" s="2" t="s">
        <v>7</v>
      </c>
      <c r="D124" s="2" t="s">
        <v>7</v>
      </c>
      <c r="E124" s="2" t="s">
        <v>8</v>
      </c>
      <c r="F124" s="3">
        <f>Rooms!P90</f>
        <v>3800</v>
      </c>
      <c r="G124" s="2" t="s">
        <v>9</v>
      </c>
    </row>
    <row r="125" spans="1:7" x14ac:dyDescent="0.45">
      <c r="A125" s="2" t="str">
        <f>Rooms!A90</f>
        <v>1bChNTqYT7DfOrORFtqCpx</v>
      </c>
      <c r="B125" s="2" t="str">
        <f>Rooms!D90</f>
        <v>Gruppenbüro</v>
      </c>
      <c r="C125" s="2" t="s">
        <v>10</v>
      </c>
      <c r="D125" s="2" t="s">
        <v>10</v>
      </c>
      <c r="E125" s="2" t="s">
        <v>11</v>
      </c>
      <c r="F125" s="3">
        <f>Rooms!Q90</f>
        <v>270</v>
      </c>
      <c r="G125" s="2" t="s">
        <v>12</v>
      </c>
    </row>
    <row r="126" spans="1:7" x14ac:dyDescent="0.45">
      <c r="A126" s="2" t="str">
        <f>Rooms!A91</f>
        <v>2lztAC9Fb3Bu462O_Gbyqi</v>
      </c>
      <c r="B126" s="2" t="str">
        <f>Rooms!D91</f>
        <v>Einzelbüro</v>
      </c>
      <c r="C126" s="2" t="s">
        <v>7</v>
      </c>
      <c r="D126" s="2" t="s">
        <v>7</v>
      </c>
      <c r="E126" s="2" t="s">
        <v>8</v>
      </c>
      <c r="F126" s="3">
        <f>Rooms!P91</f>
        <v>1700</v>
      </c>
      <c r="G126" s="2" t="s">
        <v>9</v>
      </c>
    </row>
    <row r="127" spans="1:7" x14ac:dyDescent="0.45">
      <c r="A127" s="2" t="str">
        <f>Rooms!A91</f>
        <v>2lztAC9Fb3Bu462O_Gbyqi</v>
      </c>
      <c r="B127" s="2" t="str">
        <f>Rooms!D91</f>
        <v>Einzelbüro</v>
      </c>
      <c r="C127" s="2" t="s">
        <v>10</v>
      </c>
      <c r="D127" s="2" t="s">
        <v>10</v>
      </c>
      <c r="E127" s="2" t="s">
        <v>11</v>
      </c>
      <c r="F127" s="3">
        <f>Rooms!Q91</f>
        <v>120</v>
      </c>
      <c r="G127" s="2" t="s">
        <v>12</v>
      </c>
    </row>
    <row r="128" spans="1:7" x14ac:dyDescent="0.45">
      <c r="A128" s="2" t="str">
        <f>Rooms!A92</f>
        <v>0S4m5D_7T4_g7jzLOhIOQp</v>
      </c>
      <c r="B128" s="2" t="str">
        <f>Rooms!D92</f>
        <v>Gruppenbüro</v>
      </c>
      <c r="C128" s="2" t="s">
        <v>7</v>
      </c>
      <c r="D128" s="2" t="s">
        <v>7</v>
      </c>
      <c r="E128" s="2" t="s">
        <v>8</v>
      </c>
      <c r="F128" s="3">
        <f>Rooms!P92</f>
        <v>3800</v>
      </c>
      <c r="G128" s="2" t="s">
        <v>9</v>
      </c>
    </row>
    <row r="129" spans="1:7" x14ac:dyDescent="0.45">
      <c r="A129" s="2" t="str">
        <f>Rooms!A92</f>
        <v>0S4m5D_7T4_g7jzLOhIOQp</v>
      </c>
      <c r="B129" s="2" t="str">
        <f>Rooms!D92</f>
        <v>Gruppenbüro</v>
      </c>
      <c r="C129" s="2" t="s">
        <v>10</v>
      </c>
      <c r="D129" s="2" t="s">
        <v>10</v>
      </c>
      <c r="E129" s="2" t="s">
        <v>11</v>
      </c>
      <c r="F129" s="3">
        <f>Rooms!Q92</f>
        <v>270</v>
      </c>
      <c r="G129" s="2" t="s">
        <v>12</v>
      </c>
    </row>
    <row r="130" spans="1:7" x14ac:dyDescent="0.45">
      <c r="A130" s="2" t="str">
        <f>Rooms!A93</f>
        <v>3ZqhFyHEzFnxIZyj_YZija</v>
      </c>
      <c r="B130" s="2" t="str">
        <f>Rooms!D93</f>
        <v>Grossraumbüro</v>
      </c>
      <c r="C130" s="2" t="s">
        <v>7</v>
      </c>
      <c r="D130" s="2" t="s">
        <v>7</v>
      </c>
      <c r="E130" s="2" t="s">
        <v>8</v>
      </c>
      <c r="F130" s="3">
        <f>Rooms!P93</f>
        <v>5000</v>
      </c>
      <c r="G130" s="2" t="s">
        <v>9</v>
      </c>
    </row>
    <row r="131" spans="1:7" x14ac:dyDescent="0.45">
      <c r="A131" s="2" t="str">
        <f>Rooms!A93</f>
        <v>3ZqhFyHEzFnxIZyj_YZija</v>
      </c>
      <c r="B131" s="2" t="str">
        <f>Rooms!D93</f>
        <v>Grossraumbüro</v>
      </c>
      <c r="C131" s="2" t="s">
        <v>10</v>
      </c>
      <c r="D131" s="2" t="s">
        <v>10</v>
      </c>
      <c r="E131" s="2" t="s">
        <v>11</v>
      </c>
      <c r="F131" s="3">
        <f>Rooms!Q93</f>
        <v>470</v>
      </c>
      <c r="G131" s="2" t="s">
        <v>12</v>
      </c>
    </row>
    <row r="132" spans="1:7" x14ac:dyDescent="0.45">
      <c r="A132" s="2" t="str">
        <f>Rooms!A94</f>
        <v>2z0pEBVX97teZeQ8DPf7s1</v>
      </c>
      <c r="B132" s="2" t="str">
        <f>Rooms!D94</f>
        <v>Gruppenbüro</v>
      </c>
      <c r="C132" s="2" t="s">
        <v>7</v>
      </c>
      <c r="D132" s="2" t="s">
        <v>7</v>
      </c>
      <c r="E132" s="2" t="s">
        <v>8</v>
      </c>
      <c r="F132" s="3">
        <f>Rooms!P94</f>
        <v>3800</v>
      </c>
      <c r="G132" s="2" t="s">
        <v>9</v>
      </c>
    </row>
    <row r="133" spans="1:7" x14ac:dyDescent="0.45">
      <c r="A133" s="2" t="str">
        <f>Rooms!A94</f>
        <v>2z0pEBVX97teZeQ8DPf7s1</v>
      </c>
      <c r="B133" s="2" t="str">
        <f>Rooms!D94</f>
        <v>Gruppenbüro</v>
      </c>
      <c r="C133" s="2" t="s">
        <v>10</v>
      </c>
      <c r="D133" s="2" t="s">
        <v>10</v>
      </c>
      <c r="E133" s="2" t="s">
        <v>11</v>
      </c>
      <c r="F133" s="3">
        <f>Rooms!Q94</f>
        <v>270</v>
      </c>
      <c r="G133" s="2" t="s">
        <v>12</v>
      </c>
    </row>
    <row r="134" spans="1:7" x14ac:dyDescent="0.45">
      <c r="A134" s="2" t="str">
        <f>Rooms!A95</f>
        <v>0PtzbuTuD67QX3dFqpVR3G</v>
      </c>
      <c r="B134" s="2" t="str">
        <f>Rooms!D95</f>
        <v>Sitzungszimmer</v>
      </c>
      <c r="C134" s="2" t="s">
        <v>7</v>
      </c>
      <c r="D134" s="2" t="s">
        <v>7</v>
      </c>
      <c r="E134" s="2" t="s">
        <v>8</v>
      </c>
      <c r="F134" s="3">
        <f>Rooms!P95</f>
        <v>1500</v>
      </c>
      <c r="G134" s="2" t="s">
        <v>9</v>
      </c>
    </row>
    <row r="135" spans="1:7" x14ac:dyDescent="0.45">
      <c r="A135" s="2" t="str">
        <f>Rooms!A95</f>
        <v>0PtzbuTuD67QX3dFqpVR3G</v>
      </c>
      <c r="B135" s="2" t="str">
        <f>Rooms!D95</f>
        <v>Sitzungszimmer</v>
      </c>
      <c r="C135" s="2" t="s">
        <v>10</v>
      </c>
      <c r="D135" s="2" t="s">
        <v>10</v>
      </c>
      <c r="E135" s="2" t="s">
        <v>11</v>
      </c>
      <c r="F135" s="3">
        <f>Rooms!Q95</f>
        <v>280</v>
      </c>
      <c r="G135" s="2" t="s">
        <v>12</v>
      </c>
    </row>
    <row r="136" spans="1:7" x14ac:dyDescent="0.45">
      <c r="A136" s="2" t="str">
        <f>Rooms!A102</f>
        <v>3AP3M9CFD8TPvhiv$v0MoY</v>
      </c>
      <c r="B136" s="2" t="str">
        <f>Rooms!D102</f>
        <v>Garderobe</v>
      </c>
      <c r="C136" s="2" t="s">
        <v>7</v>
      </c>
      <c r="D136" s="2" t="s">
        <v>7</v>
      </c>
      <c r="E136" s="2" t="s">
        <v>8</v>
      </c>
      <c r="F136" s="3">
        <f>Rooms!P102</f>
        <v>600</v>
      </c>
      <c r="G136" s="2" t="s">
        <v>9</v>
      </c>
    </row>
    <row r="137" spans="1:7" x14ac:dyDescent="0.45">
      <c r="A137" s="2" t="str">
        <f>Rooms!A102</f>
        <v>3AP3M9CFD8TPvhiv$v0MoY</v>
      </c>
      <c r="B137" s="2" t="str">
        <f>Rooms!D102</f>
        <v>Garderobe</v>
      </c>
      <c r="C137" s="2" t="s">
        <v>10</v>
      </c>
      <c r="D137" s="2" t="s">
        <v>10</v>
      </c>
      <c r="E137" s="2" t="s">
        <v>11</v>
      </c>
      <c r="F137" s="3">
        <f>Rooms!Q102</f>
        <v>85</v>
      </c>
      <c r="G137" s="2" t="s">
        <v>12</v>
      </c>
    </row>
    <row r="138" spans="1:7" x14ac:dyDescent="0.45">
      <c r="A138" s="2" t="str">
        <f>Rooms!A102</f>
        <v>3AP3M9CFD8TPvhiv$v0MoY</v>
      </c>
      <c r="B138" s="2" t="str">
        <f>Rooms!D102</f>
        <v>Garderobe</v>
      </c>
      <c r="C138" s="2" t="s">
        <v>13</v>
      </c>
      <c r="D138" s="2" t="s">
        <v>13</v>
      </c>
      <c r="E138" s="2" t="s">
        <v>11</v>
      </c>
      <c r="F138" s="3">
        <f>Rooms!R102</f>
        <v>0.1</v>
      </c>
      <c r="G138" s="2" t="s">
        <v>14</v>
      </c>
    </row>
    <row r="139" spans="1:7" x14ac:dyDescent="0.45">
      <c r="A139" s="2" t="str">
        <f>Rooms!A103</f>
        <v>1mNjB9RH5Dcw0xuDRfC9KF</v>
      </c>
      <c r="B139" s="2" t="str">
        <f>Rooms!D103</f>
        <v>WC Bad Dusche</v>
      </c>
      <c r="C139" s="2" t="s">
        <v>7</v>
      </c>
      <c r="D139" s="2" t="s">
        <v>7</v>
      </c>
      <c r="E139" s="2" t="s">
        <v>8</v>
      </c>
      <c r="F139" s="3">
        <f>Rooms!P103</f>
        <v>400</v>
      </c>
      <c r="G139" s="2" t="s">
        <v>9</v>
      </c>
    </row>
    <row r="140" spans="1:7" x14ac:dyDescent="0.45">
      <c r="A140" s="2" t="str">
        <f>Rooms!A103</f>
        <v>1mNjB9RH5Dcw0xuDRfC9KF</v>
      </c>
      <c r="B140" s="2" t="str">
        <f>Rooms!D103</f>
        <v>WC Bad Dusche</v>
      </c>
      <c r="C140" s="2" t="s">
        <v>10</v>
      </c>
      <c r="D140" s="2" t="s">
        <v>10</v>
      </c>
      <c r="E140" s="2" t="s">
        <v>11</v>
      </c>
      <c r="F140" s="3">
        <f>Rooms!Q103</f>
        <v>90</v>
      </c>
      <c r="G140" s="2" t="s">
        <v>12</v>
      </c>
    </row>
    <row r="141" spans="1:7" x14ac:dyDescent="0.45">
      <c r="A141" s="2" t="str">
        <f>Rooms!A103</f>
        <v>1mNjB9RH5Dcw0xuDRfC9KF</v>
      </c>
      <c r="B141" s="2" t="str">
        <f>Rooms!D103</f>
        <v>WC Bad Dusche</v>
      </c>
      <c r="C141" s="2" t="s">
        <v>13</v>
      </c>
      <c r="D141" s="2" t="s">
        <v>13</v>
      </c>
      <c r="E141" s="2" t="s">
        <v>11</v>
      </c>
      <c r="F141" s="3">
        <f>Rooms!R103</f>
        <v>0.2</v>
      </c>
      <c r="G141" s="2" t="s">
        <v>14</v>
      </c>
    </row>
  </sheetData>
  <autoFilter ref="C1:C1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8"/>
  <sheetViews>
    <sheetView workbookViewId="0"/>
  </sheetViews>
  <sheetFormatPr baseColWidth="10" defaultColWidth="9.06640625" defaultRowHeight="14.25" x14ac:dyDescent="0.45"/>
  <cols>
    <col min="1" max="1" width="24" customWidth="1"/>
    <col min="2" max="2" width="8" customWidth="1"/>
    <col min="3" max="3" width="10" customWidth="1"/>
    <col min="4" max="4" width="24" customWidth="1"/>
    <col min="5" max="5" width="10" customWidth="1"/>
    <col min="6" max="6" width="9" customWidth="1"/>
    <col min="7" max="7" width="12" customWidth="1"/>
    <col min="8" max="8" width="10" customWidth="1"/>
    <col min="9" max="9" width="16" customWidth="1"/>
    <col min="10" max="10" width="10" customWidth="1"/>
    <col min="11" max="11" width="11" customWidth="1"/>
    <col min="12" max="12" width="13" customWidth="1"/>
    <col min="13" max="13" width="10" customWidth="1"/>
    <col min="14" max="14" width="12" customWidth="1"/>
    <col min="15" max="15" width="13" customWidth="1"/>
    <col min="16" max="16" width="10" customWidth="1"/>
    <col min="17" max="17" width="11" customWidth="1"/>
    <col min="18" max="18" width="9" customWidth="1"/>
    <col min="19" max="19" width="48" customWidth="1"/>
  </cols>
  <sheetData>
    <row r="1" spans="1:19" x14ac:dyDescent="0.45">
      <c r="A1" s="1" t="s">
        <v>0</v>
      </c>
      <c r="B1" s="1" t="s">
        <v>15</v>
      </c>
      <c r="C1" s="1" t="s">
        <v>16</v>
      </c>
      <c r="D1" s="1" t="s">
        <v>1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ht="28.5" x14ac:dyDescent="0.45">
      <c r="A2" s="4" t="s">
        <v>32</v>
      </c>
      <c r="B2" s="4" t="s">
        <v>33</v>
      </c>
      <c r="C2" s="4" t="s">
        <v>34</v>
      </c>
      <c r="D2" s="5" t="s">
        <v>35</v>
      </c>
      <c r="E2" s="6">
        <v>28.349999999999959</v>
      </c>
      <c r="F2" s="6">
        <v>2.0499999999999998</v>
      </c>
      <c r="G2" s="7" t="s">
        <v>36</v>
      </c>
      <c r="H2" s="8">
        <v>0</v>
      </c>
      <c r="I2" s="7" t="s">
        <v>37</v>
      </c>
      <c r="J2" s="8">
        <v>20</v>
      </c>
      <c r="K2" s="6">
        <v>0.5</v>
      </c>
      <c r="L2" s="6">
        <v>0</v>
      </c>
      <c r="M2" s="6">
        <v>10</v>
      </c>
      <c r="N2" s="6">
        <v>0</v>
      </c>
      <c r="O2" s="6"/>
      <c r="P2" s="9">
        <f t="shared" ref="P2:P33" si="0">IF(OR(I2="SHAFT",I2="LIFT"),0,IF(G2="unbeheizt",0,IF(G2="kalt",ROUND(E2*MIN(J2,10)/50,0)*50,ROUND(E2*J2/50,0)*50)))</f>
        <v>300</v>
      </c>
      <c r="Q2" s="9">
        <f t="shared" ref="Q2:Q33" si="1">IF(MAX(K2,L2,M2)=0,0,MAX(M2,ROUND(MAX(E2*K2,H2*L2)/5,0)*5))</f>
        <v>15</v>
      </c>
      <c r="R2" s="10">
        <f t="shared" ref="R2:R33" si="2">ROUND(IF(O2&lt;&gt;"",O2,N2),2)</f>
        <v>0</v>
      </c>
      <c r="S2" s="11" t="s">
        <v>38</v>
      </c>
    </row>
    <row r="3" spans="1:19" ht="28.5" x14ac:dyDescent="0.45">
      <c r="A3" s="4" t="s">
        <v>39</v>
      </c>
      <c r="B3" s="4" t="s">
        <v>33</v>
      </c>
      <c r="C3" s="4" t="s">
        <v>40</v>
      </c>
      <c r="D3" s="5" t="s">
        <v>35</v>
      </c>
      <c r="E3" s="6">
        <v>76.44</v>
      </c>
      <c r="F3" s="6">
        <v>2.0499999999999998</v>
      </c>
      <c r="G3" s="7" t="s">
        <v>36</v>
      </c>
      <c r="H3" s="8">
        <v>0</v>
      </c>
      <c r="I3" s="7" t="s">
        <v>37</v>
      </c>
      <c r="J3" s="8">
        <v>20</v>
      </c>
      <c r="K3" s="6">
        <v>0.5</v>
      </c>
      <c r="L3" s="6">
        <v>0</v>
      </c>
      <c r="M3" s="6">
        <v>10</v>
      </c>
      <c r="N3" s="6">
        <v>0</v>
      </c>
      <c r="O3" s="6"/>
      <c r="P3" s="9">
        <f t="shared" si="0"/>
        <v>750</v>
      </c>
      <c r="Q3" s="9">
        <f t="shared" si="1"/>
        <v>40</v>
      </c>
      <c r="R3" s="10">
        <f t="shared" si="2"/>
        <v>0</v>
      </c>
      <c r="S3" s="11" t="s">
        <v>38</v>
      </c>
    </row>
    <row r="4" spans="1:19" x14ac:dyDescent="0.45">
      <c r="A4" s="4" t="s">
        <v>41</v>
      </c>
      <c r="B4" s="4" t="s">
        <v>33</v>
      </c>
      <c r="C4" s="4" t="s">
        <v>42</v>
      </c>
      <c r="D4" s="5" t="s">
        <v>43</v>
      </c>
      <c r="E4" s="6">
        <v>97.940000000000254</v>
      </c>
      <c r="F4" s="6">
        <v>2.0499999999999998</v>
      </c>
      <c r="G4" s="7" t="s">
        <v>44</v>
      </c>
      <c r="H4" s="8">
        <v>0</v>
      </c>
      <c r="I4" s="7" t="s">
        <v>45</v>
      </c>
      <c r="J4" s="8">
        <v>10</v>
      </c>
      <c r="K4" s="6">
        <v>1.5</v>
      </c>
      <c r="L4" s="6">
        <v>0</v>
      </c>
      <c r="M4" s="6">
        <v>20</v>
      </c>
      <c r="N4" s="6">
        <v>0</v>
      </c>
      <c r="O4" s="6"/>
      <c r="P4" s="9">
        <f t="shared" si="0"/>
        <v>0</v>
      </c>
      <c r="Q4" s="9">
        <f t="shared" si="1"/>
        <v>145</v>
      </c>
      <c r="R4" s="10">
        <f t="shared" si="2"/>
        <v>0</v>
      </c>
      <c r="S4" s="11" t="s">
        <v>46</v>
      </c>
    </row>
    <row r="5" spans="1:19" x14ac:dyDescent="0.45">
      <c r="A5" s="4" t="s">
        <v>47</v>
      </c>
      <c r="B5" s="4" t="s">
        <v>33</v>
      </c>
      <c r="C5" s="4" t="s">
        <v>48</v>
      </c>
      <c r="D5" s="5" t="s">
        <v>49</v>
      </c>
      <c r="E5" s="6">
        <v>34.079999999999977</v>
      </c>
      <c r="F5" s="6">
        <v>2.0499999999999998</v>
      </c>
      <c r="G5" s="7" t="s">
        <v>50</v>
      </c>
      <c r="H5" s="8">
        <v>2</v>
      </c>
      <c r="I5" s="7" t="s">
        <v>51</v>
      </c>
      <c r="J5" s="8">
        <v>45</v>
      </c>
      <c r="K5" s="6">
        <v>3</v>
      </c>
      <c r="L5" s="6">
        <v>20</v>
      </c>
      <c r="M5" s="6">
        <v>40</v>
      </c>
      <c r="N5" s="6">
        <v>0.05</v>
      </c>
      <c r="O5" s="6"/>
      <c r="P5" s="9">
        <f t="shared" si="0"/>
        <v>1550</v>
      </c>
      <c r="Q5" s="9">
        <f t="shared" si="1"/>
        <v>100</v>
      </c>
      <c r="R5" s="10">
        <f t="shared" si="2"/>
        <v>0.05</v>
      </c>
      <c r="S5" s="11" t="s">
        <v>46</v>
      </c>
    </row>
    <row r="6" spans="1:19" ht="28.5" x14ac:dyDescent="0.45">
      <c r="A6" s="4" t="s">
        <v>52</v>
      </c>
      <c r="B6" s="4" t="s">
        <v>33</v>
      </c>
      <c r="C6" s="4" t="s">
        <v>53</v>
      </c>
      <c r="D6" s="5" t="s">
        <v>35</v>
      </c>
      <c r="E6" s="6">
        <v>76.44</v>
      </c>
      <c r="F6" s="6">
        <v>2.0499999999999998</v>
      </c>
      <c r="G6" s="7" t="s">
        <v>36</v>
      </c>
      <c r="H6" s="8">
        <v>0</v>
      </c>
      <c r="I6" s="7" t="s">
        <v>37</v>
      </c>
      <c r="J6" s="8">
        <v>20</v>
      </c>
      <c r="K6" s="6">
        <v>0.5</v>
      </c>
      <c r="L6" s="6">
        <v>0</v>
      </c>
      <c r="M6" s="6">
        <v>10</v>
      </c>
      <c r="N6" s="6">
        <v>0</v>
      </c>
      <c r="O6" s="6"/>
      <c r="P6" s="9">
        <f t="shared" si="0"/>
        <v>750</v>
      </c>
      <c r="Q6" s="9">
        <f t="shared" si="1"/>
        <v>40</v>
      </c>
      <c r="R6" s="10">
        <f t="shared" si="2"/>
        <v>0</v>
      </c>
      <c r="S6" s="11" t="s">
        <v>38</v>
      </c>
    </row>
    <row r="7" spans="1:19" x14ac:dyDescent="0.45">
      <c r="A7" s="4" t="s">
        <v>54</v>
      </c>
      <c r="B7" s="4" t="s">
        <v>33</v>
      </c>
      <c r="C7" s="4" t="s">
        <v>55</v>
      </c>
      <c r="D7" s="5" t="s">
        <v>43</v>
      </c>
      <c r="E7" s="6">
        <v>99.839999999999961</v>
      </c>
      <c r="F7" s="6">
        <v>2.0499999999999998</v>
      </c>
      <c r="G7" s="7" t="s">
        <v>44</v>
      </c>
      <c r="H7" s="8">
        <v>0</v>
      </c>
      <c r="I7" s="7" t="s">
        <v>45</v>
      </c>
      <c r="J7" s="8">
        <v>10</v>
      </c>
      <c r="K7" s="6">
        <v>1.5</v>
      </c>
      <c r="L7" s="6">
        <v>0</v>
      </c>
      <c r="M7" s="6">
        <v>20</v>
      </c>
      <c r="N7" s="6">
        <v>0</v>
      </c>
      <c r="O7" s="6"/>
      <c r="P7" s="9">
        <f t="shared" si="0"/>
        <v>0</v>
      </c>
      <c r="Q7" s="9">
        <f t="shared" si="1"/>
        <v>150</v>
      </c>
      <c r="R7" s="10">
        <f t="shared" si="2"/>
        <v>0</v>
      </c>
      <c r="S7" s="11" t="s">
        <v>46</v>
      </c>
    </row>
    <row r="8" spans="1:19" ht="28.5" x14ac:dyDescent="0.45">
      <c r="A8" s="4" t="s">
        <v>56</v>
      </c>
      <c r="B8" s="4" t="s">
        <v>33</v>
      </c>
      <c r="C8" s="4" t="s">
        <v>57</v>
      </c>
      <c r="D8" s="5" t="s">
        <v>35</v>
      </c>
      <c r="E8" s="6">
        <v>76.44</v>
      </c>
      <c r="F8" s="6">
        <v>2.0499999999999998</v>
      </c>
      <c r="G8" s="7" t="s">
        <v>36</v>
      </c>
      <c r="H8" s="8">
        <v>0</v>
      </c>
      <c r="I8" s="7" t="s">
        <v>37</v>
      </c>
      <c r="J8" s="8">
        <v>20</v>
      </c>
      <c r="K8" s="6">
        <v>0.5</v>
      </c>
      <c r="L8" s="6">
        <v>0</v>
      </c>
      <c r="M8" s="6">
        <v>10</v>
      </c>
      <c r="N8" s="6">
        <v>0</v>
      </c>
      <c r="O8" s="6"/>
      <c r="P8" s="9">
        <f t="shared" si="0"/>
        <v>750</v>
      </c>
      <c r="Q8" s="9">
        <f t="shared" si="1"/>
        <v>40</v>
      </c>
      <c r="R8" s="10">
        <f t="shared" si="2"/>
        <v>0</v>
      </c>
      <c r="S8" s="11" t="s">
        <v>38</v>
      </c>
    </row>
    <row r="9" spans="1:19" x14ac:dyDescent="0.45">
      <c r="A9" s="4" t="s">
        <v>58</v>
      </c>
      <c r="B9" s="4" t="s">
        <v>33</v>
      </c>
      <c r="C9" s="4" t="s">
        <v>59</v>
      </c>
      <c r="D9" s="5" t="s">
        <v>60</v>
      </c>
      <c r="E9" s="6">
        <v>21.599999999999959</v>
      </c>
      <c r="F9" s="6">
        <v>2.0499999999999998</v>
      </c>
      <c r="G9" s="7" t="s">
        <v>44</v>
      </c>
      <c r="H9" s="8">
        <v>0</v>
      </c>
      <c r="I9" s="7" t="s">
        <v>61</v>
      </c>
      <c r="J9" s="8">
        <v>0</v>
      </c>
      <c r="K9" s="6">
        <v>0</v>
      </c>
      <c r="L9" s="6">
        <v>0</v>
      </c>
      <c r="M9" s="6">
        <v>0</v>
      </c>
      <c r="N9" s="6">
        <v>0</v>
      </c>
      <c r="O9" s="6"/>
      <c r="P9" s="9">
        <f t="shared" si="0"/>
        <v>0</v>
      </c>
      <c r="Q9" s="9">
        <f t="shared" si="1"/>
        <v>0</v>
      </c>
      <c r="R9" s="10">
        <f t="shared" si="2"/>
        <v>0</v>
      </c>
      <c r="S9" s="11" t="s">
        <v>46</v>
      </c>
    </row>
    <row r="10" spans="1:19" ht="28.5" x14ac:dyDescent="0.45">
      <c r="A10" s="4" t="s">
        <v>62</v>
      </c>
      <c r="B10" s="4" t="s">
        <v>33</v>
      </c>
      <c r="C10" s="4" t="s">
        <v>63</v>
      </c>
      <c r="D10" s="5" t="s">
        <v>64</v>
      </c>
      <c r="E10" s="6">
        <v>157.44000000000011</v>
      </c>
      <c r="F10" s="6">
        <v>2.0499999999999998</v>
      </c>
      <c r="G10" s="7" t="s">
        <v>36</v>
      </c>
      <c r="H10" s="8">
        <v>0</v>
      </c>
      <c r="I10" s="7" t="s">
        <v>65</v>
      </c>
      <c r="J10" s="8">
        <v>15</v>
      </c>
      <c r="K10" s="6">
        <v>1</v>
      </c>
      <c r="L10" s="6">
        <v>0</v>
      </c>
      <c r="M10" s="6">
        <v>15</v>
      </c>
      <c r="N10" s="6">
        <v>0</v>
      </c>
      <c r="O10" s="6"/>
      <c r="P10" s="9">
        <f t="shared" si="0"/>
        <v>1550</v>
      </c>
      <c r="Q10" s="9">
        <f t="shared" si="1"/>
        <v>155</v>
      </c>
      <c r="R10" s="10">
        <f t="shared" si="2"/>
        <v>0</v>
      </c>
      <c r="S10" s="11" t="s">
        <v>66</v>
      </c>
    </row>
    <row r="11" spans="1:19" ht="28.5" x14ac:dyDescent="0.45">
      <c r="A11" s="4" t="s">
        <v>67</v>
      </c>
      <c r="B11" s="4" t="s">
        <v>33</v>
      </c>
      <c r="C11" s="4" t="s">
        <v>68</v>
      </c>
      <c r="D11" s="5" t="s">
        <v>69</v>
      </c>
      <c r="E11" s="6">
        <v>99.84</v>
      </c>
      <c r="F11" s="6">
        <v>2.0499999999999998</v>
      </c>
      <c r="G11" s="7" t="s">
        <v>50</v>
      </c>
      <c r="H11" s="8">
        <v>0</v>
      </c>
      <c r="I11" s="7" t="s">
        <v>70</v>
      </c>
      <c r="J11" s="8">
        <v>25</v>
      </c>
      <c r="K11" s="6">
        <v>1.5</v>
      </c>
      <c r="L11" s="6">
        <v>0</v>
      </c>
      <c r="M11" s="6">
        <v>20</v>
      </c>
      <c r="N11" s="6">
        <v>0</v>
      </c>
      <c r="O11" s="6"/>
      <c r="P11" s="9">
        <f t="shared" si="0"/>
        <v>2500</v>
      </c>
      <c r="Q11" s="9">
        <f t="shared" si="1"/>
        <v>150</v>
      </c>
      <c r="R11" s="10">
        <f t="shared" si="2"/>
        <v>0</v>
      </c>
      <c r="S11" s="11" t="s">
        <v>71</v>
      </c>
    </row>
    <row r="12" spans="1:19" ht="28.5" x14ac:dyDescent="0.45">
      <c r="A12" s="4" t="s">
        <v>72</v>
      </c>
      <c r="B12" s="4" t="s">
        <v>33</v>
      </c>
      <c r="C12" s="4" t="s">
        <v>73</v>
      </c>
      <c r="D12" s="5" t="s">
        <v>69</v>
      </c>
      <c r="E12" s="6">
        <v>11.03999999999999</v>
      </c>
      <c r="F12" s="6">
        <v>2.0499999999999998</v>
      </c>
      <c r="G12" s="7" t="s">
        <v>50</v>
      </c>
      <c r="H12" s="8">
        <v>0</v>
      </c>
      <c r="I12" s="7" t="s">
        <v>70</v>
      </c>
      <c r="J12" s="8">
        <v>25</v>
      </c>
      <c r="K12" s="6">
        <v>1.5</v>
      </c>
      <c r="L12" s="6">
        <v>0</v>
      </c>
      <c r="M12" s="6">
        <v>20</v>
      </c>
      <c r="N12" s="6">
        <v>0</v>
      </c>
      <c r="O12" s="6"/>
      <c r="P12" s="9">
        <f t="shared" si="0"/>
        <v>300</v>
      </c>
      <c r="Q12" s="9">
        <f t="shared" si="1"/>
        <v>20</v>
      </c>
      <c r="R12" s="10">
        <f t="shared" si="2"/>
        <v>0</v>
      </c>
      <c r="S12" s="11" t="s">
        <v>71</v>
      </c>
    </row>
    <row r="13" spans="1:19" ht="28.5" x14ac:dyDescent="0.45">
      <c r="A13" s="4" t="s">
        <v>74</v>
      </c>
      <c r="B13" s="4" t="s">
        <v>33</v>
      </c>
      <c r="C13" s="4" t="s">
        <v>75</v>
      </c>
      <c r="D13" s="5" t="s">
        <v>76</v>
      </c>
      <c r="E13" s="6">
        <v>11.03999999999999</v>
      </c>
      <c r="F13" s="6">
        <v>2.0499999999999998</v>
      </c>
      <c r="G13" s="7" t="s">
        <v>50</v>
      </c>
      <c r="H13" s="8">
        <v>0</v>
      </c>
      <c r="I13" s="7" t="s">
        <v>77</v>
      </c>
      <c r="J13" s="8">
        <v>35</v>
      </c>
      <c r="K13" s="6">
        <v>8</v>
      </c>
      <c r="L13" s="6">
        <v>0</v>
      </c>
      <c r="M13" s="6">
        <v>60</v>
      </c>
      <c r="N13" s="6">
        <v>0.2</v>
      </c>
      <c r="O13" s="6"/>
      <c r="P13" s="9">
        <f t="shared" si="0"/>
        <v>400</v>
      </c>
      <c r="Q13" s="9">
        <f t="shared" si="1"/>
        <v>90</v>
      </c>
      <c r="R13" s="10">
        <f t="shared" si="2"/>
        <v>0.2</v>
      </c>
      <c r="S13" s="11" t="s">
        <v>78</v>
      </c>
    </row>
    <row r="14" spans="1:19" x14ac:dyDescent="0.45">
      <c r="A14" s="4" t="s">
        <v>79</v>
      </c>
      <c r="B14" s="4" t="s">
        <v>33</v>
      </c>
      <c r="C14" s="4" t="s">
        <v>80</v>
      </c>
      <c r="D14" s="5" t="s">
        <v>81</v>
      </c>
      <c r="E14" s="6">
        <v>5.8499999999999952</v>
      </c>
      <c r="F14" s="6">
        <v>2.0499999999999998</v>
      </c>
      <c r="G14" s="7" t="s">
        <v>44</v>
      </c>
      <c r="H14" s="8">
        <v>0</v>
      </c>
      <c r="I14" s="7" t="s">
        <v>82</v>
      </c>
      <c r="J14" s="8">
        <v>0</v>
      </c>
      <c r="K14" s="6">
        <v>0</v>
      </c>
      <c r="L14" s="6">
        <v>0</v>
      </c>
      <c r="M14" s="6">
        <v>0</v>
      </c>
      <c r="N14" s="6">
        <v>0</v>
      </c>
      <c r="O14" s="6"/>
      <c r="P14" s="9">
        <f t="shared" si="0"/>
        <v>0</v>
      </c>
      <c r="Q14" s="9">
        <f t="shared" si="1"/>
        <v>0</v>
      </c>
      <c r="R14" s="10">
        <f t="shared" si="2"/>
        <v>0</v>
      </c>
      <c r="S14" s="11" t="s">
        <v>46</v>
      </c>
    </row>
    <row r="15" spans="1:19" x14ac:dyDescent="0.45">
      <c r="A15" s="4" t="s">
        <v>83</v>
      </c>
      <c r="B15" s="4" t="s">
        <v>33</v>
      </c>
      <c r="C15" s="4" t="s">
        <v>84</v>
      </c>
      <c r="D15" s="5" t="s">
        <v>81</v>
      </c>
      <c r="E15" s="6">
        <v>13.44</v>
      </c>
      <c r="F15" s="6">
        <v>2.0499999999999998</v>
      </c>
      <c r="G15" s="7" t="s">
        <v>44</v>
      </c>
      <c r="H15" s="8">
        <v>0</v>
      </c>
      <c r="I15" s="7" t="s">
        <v>82</v>
      </c>
      <c r="J15" s="8">
        <v>0</v>
      </c>
      <c r="K15" s="6">
        <v>0</v>
      </c>
      <c r="L15" s="6">
        <v>0</v>
      </c>
      <c r="M15" s="6">
        <v>0</v>
      </c>
      <c r="N15" s="6">
        <v>0</v>
      </c>
      <c r="O15" s="6"/>
      <c r="P15" s="9">
        <f t="shared" si="0"/>
        <v>0</v>
      </c>
      <c r="Q15" s="9">
        <f t="shared" si="1"/>
        <v>0</v>
      </c>
      <c r="R15" s="10">
        <f t="shared" si="2"/>
        <v>0</v>
      </c>
      <c r="S15" s="11" t="s">
        <v>46</v>
      </c>
    </row>
    <row r="16" spans="1:19" x14ac:dyDescent="0.45">
      <c r="A16" s="4" t="s">
        <v>85</v>
      </c>
      <c r="B16" s="4" t="s">
        <v>33</v>
      </c>
      <c r="C16" s="4" t="s">
        <v>86</v>
      </c>
      <c r="D16" s="5" t="s">
        <v>81</v>
      </c>
      <c r="E16" s="6">
        <v>1.4400000000000031</v>
      </c>
      <c r="F16" s="6">
        <v>2.0499999999999998</v>
      </c>
      <c r="G16" s="7" t="s">
        <v>44</v>
      </c>
      <c r="H16" s="8">
        <v>0</v>
      </c>
      <c r="I16" s="7" t="s">
        <v>82</v>
      </c>
      <c r="J16" s="8">
        <v>0</v>
      </c>
      <c r="K16" s="6">
        <v>0</v>
      </c>
      <c r="L16" s="6">
        <v>0</v>
      </c>
      <c r="M16" s="6">
        <v>0</v>
      </c>
      <c r="N16" s="6">
        <v>0</v>
      </c>
      <c r="O16" s="6"/>
      <c r="P16" s="9">
        <f t="shared" si="0"/>
        <v>0</v>
      </c>
      <c r="Q16" s="9">
        <f t="shared" si="1"/>
        <v>0</v>
      </c>
      <c r="R16" s="10">
        <f t="shared" si="2"/>
        <v>0</v>
      </c>
      <c r="S16" s="11" t="s">
        <v>46</v>
      </c>
    </row>
    <row r="17" spans="1:19" x14ac:dyDescent="0.45">
      <c r="A17" s="4" t="s">
        <v>87</v>
      </c>
      <c r="B17" s="4" t="s">
        <v>33</v>
      </c>
      <c r="C17" s="4" t="s">
        <v>88</v>
      </c>
      <c r="D17" s="5" t="s">
        <v>81</v>
      </c>
      <c r="E17" s="6">
        <v>2.399999999999999</v>
      </c>
      <c r="F17" s="6">
        <v>2.0499999999999998</v>
      </c>
      <c r="G17" s="7" t="s">
        <v>44</v>
      </c>
      <c r="H17" s="8">
        <v>0</v>
      </c>
      <c r="I17" s="7" t="s">
        <v>82</v>
      </c>
      <c r="J17" s="8">
        <v>0</v>
      </c>
      <c r="K17" s="6">
        <v>0</v>
      </c>
      <c r="L17" s="6">
        <v>0</v>
      </c>
      <c r="M17" s="6">
        <v>0</v>
      </c>
      <c r="N17" s="6">
        <v>0</v>
      </c>
      <c r="O17" s="6"/>
      <c r="P17" s="9">
        <f t="shared" si="0"/>
        <v>0</v>
      </c>
      <c r="Q17" s="9">
        <f t="shared" si="1"/>
        <v>0</v>
      </c>
      <c r="R17" s="10">
        <f t="shared" si="2"/>
        <v>0</v>
      </c>
      <c r="S17" s="11" t="s">
        <v>46</v>
      </c>
    </row>
    <row r="18" spans="1:19" x14ac:dyDescent="0.45">
      <c r="A18" s="4" t="s">
        <v>89</v>
      </c>
      <c r="B18" s="4" t="s">
        <v>33</v>
      </c>
      <c r="C18" s="4" t="s">
        <v>90</v>
      </c>
      <c r="D18" s="5" t="s">
        <v>81</v>
      </c>
      <c r="E18" s="6">
        <v>6.2400000000000233</v>
      </c>
      <c r="F18" s="6">
        <v>2.0499999999999998</v>
      </c>
      <c r="G18" s="7" t="s">
        <v>44</v>
      </c>
      <c r="H18" s="8">
        <v>0</v>
      </c>
      <c r="I18" s="7" t="s">
        <v>82</v>
      </c>
      <c r="J18" s="8">
        <v>0</v>
      </c>
      <c r="K18" s="6">
        <v>0</v>
      </c>
      <c r="L18" s="6">
        <v>0</v>
      </c>
      <c r="M18" s="6">
        <v>0</v>
      </c>
      <c r="N18" s="6">
        <v>0</v>
      </c>
      <c r="O18" s="6"/>
      <c r="P18" s="9">
        <f t="shared" si="0"/>
        <v>0</v>
      </c>
      <c r="Q18" s="9">
        <f t="shared" si="1"/>
        <v>0</v>
      </c>
      <c r="R18" s="10">
        <f t="shared" si="2"/>
        <v>0</v>
      </c>
      <c r="S18" s="11" t="s">
        <v>46</v>
      </c>
    </row>
    <row r="19" spans="1:19" ht="28.5" x14ac:dyDescent="0.45">
      <c r="A19" s="4" t="s">
        <v>91</v>
      </c>
      <c r="B19" s="4" t="s">
        <v>92</v>
      </c>
      <c r="C19" s="4" t="s">
        <v>93</v>
      </c>
      <c r="D19" s="5" t="s">
        <v>94</v>
      </c>
      <c r="E19" s="6">
        <v>65.250000000000213</v>
      </c>
      <c r="F19" s="6">
        <v>2.0499999999999998</v>
      </c>
      <c r="G19" s="7" t="s">
        <v>50</v>
      </c>
      <c r="H19" s="8">
        <v>17</v>
      </c>
      <c r="I19" s="7" t="s">
        <v>95</v>
      </c>
      <c r="J19" s="8">
        <v>55</v>
      </c>
      <c r="K19" s="6">
        <v>4.5</v>
      </c>
      <c r="L19" s="6">
        <v>40</v>
      </c>
      <c r="M19" s="6">
        <v>60</v>
      </c>
      <c r="N19" s="6">
        <v>0</v>
      </c>
      <c r="O19" s="6"/>
      <c r="P19" s="9">
        <f t="shared" si="0"/>
        <v>3600</v>
      </c>
      <c r="Q19" s="9">
        <f t="shared" si="1"/>
        <v>680</v>
      </c>
      <c r="R19" s="10">
        <f t="shared" si="2"/>
        <v>0</v>
      </c>
      <c r="S19" s="11" t="s">
        <v>96</v>
      </c>
    </row>
    <row r="20" spans="1:19" ht="28.5" x14ac:dyDescent="0.45">
      <c r="A20" s="4" t="s">
        <v>97</v>
      </c>
      <c r="B20" s="4" t="s">
        <v>92</v>
      </c>
      <c r="C20" s="4" t="s">
        <v>98</v>
      </c>
      <c r="D20" s="5" t="s">
        <v>99</v>
      </c>
      <c r="E20" s="6">
        <v>57.600000000000577</v>
      </c>
      <c r="F20" s="6">
        <v>2.0499999999999998</v>
      </c>
      <c r="G20" s="7" t="s">
        <v>50</v>
      </c>
      <c r="H20" s="8">
        <v>6</v>
      </c>
      <c r="I20" s="7" t="s">
        <v>100</v>
      </c>
      <c r="J20" s="8">
        <v>60</v>
      </c>
      <c r="K20" s="6">
        <v>6.5</v>
      </c>
      <c r="L20" s="6">
        <v>20</v>
      </c>
      <c r="M20" s="6">
        <v>150</v>
      </c>
      <c r="N20" s="6">
        <v>0.12</v>
      </c>
      <c r="O20" s="6"/>
      <c r="P20" s="9">
        <f t="shared" si="0"/>
        <v>3450</v>
      </c>
      <c r="Q20" s="9">
        <f t="shared" si="1"/>
        <v>375</v>
      </c>
      <c r="R20" s="10">
        <f t="shared" si="2"/>
        <v>0.12</v>
      </c>
      <c r="S20" s="11" t="s">
        <v>101</v>
      </c>
    </row>
    <row r="21" spans="1:19" ht="28.5" x14ac:dyDescent="0.45">
      <c r="A21" s="4" t="s">
        <v>102</v>
      </c>
      <c r="B21" s="4" t="s">
        <v>92</v>
      </c>
      <c r="C21" s="4" t="s">
        <v>103</v>
      </c>
      <c r="D21" s="5" t="s">
        <v>104</v>
      </c>
      <c r="E21" s="6">
        <v>44.100000000000549</v>
      </c>
      <c r="F21" s="6">
        <v>2.0499999999999998</v>
      </c>
      <c r="G21" s="7" t="s">
        <v>50</v>
      </c>
      <c r="H21" s="8">
        <v>4</v>
      </c>
      <c r="I21" s="7" t="s">
        <v>105</v>
      </c>
      <c r="J21" s="8">
        <v>65</v>
      </c>
      <c r="K21" s="6">
        <v>6</v>
      </c>
      <c r="L21" s="6">
        <v>50</v>
      </c>
      <c r="M21" s="6">
        <v>120</v>
      </c>
      <c r="N21" s="6">
        <v>0.05</v>
      </c>
      <c r="O21" s="6"/>
      <c r="P21" s="9">
        <f t="shared" si="0"/>
        <v>2850</v>
      </c>
      <c r="Q21" s="9">
        <f t="shared" si="1"/>
        <v>265</v>
      </c>
      <c r="R21" s="10">
        <f t="shared" si="2"/>
        <v>0.05</v>
      </c>
      <c r="S21" s="11" t="s">
        <v>106</v>
      </c>
    </row>
    <row r="22" spans="1:19" ht="28.5" x14ac:dyDescent="0.45">
      <c r="A22" s="4" t="s">
        <v>107</v>
      </c>
      <c r="B22" s="4" t="s">
        <v>92</v>
      </c>
      <c r="C22" s="4" t="s">
        <v>108</v>
      </c>
      <c r="D22" s="5" t="s">
        <v>109</v>
      </c>
      <c r="E22" s="6">
        <v>83.25000000000108</v>
      </c>
      <c r="F22" s="6">
        <v>2.0499999999999998</v>
      </c>
      <c r="G22" s="7" t="s">
        <v>50</v>
      </c>
      <c r="H22" s="8">
        <v>11</v>
      </c>
      <c r="I22" s="7" t="s">
        <v>110</v>
      </c>
      <c r="J22" s="8">
        <v>50</v>
      </c>
      <c r="K22" s="6">
        <v>4</v>
      </c>
      <c r="L22" s="6">
        <v>36</v>
      </c>
      <c r="M22" s="6">
        <v>60</v>
      </c>
      <c r="N22" s="6">
        <v>0</v>
      </c>
      <c r="O22" s="6"/>
      <c r="P22" s="9">
        <f t="shared" si="0"/>
        <v>4150</v>
      </c>
      <c r="Q22" s="9">
        <f t="shared" si="1"/>
        <v>395</v>
      </c>
      <c r="R22" s="10">
        <f t="shared" si="2"/>
        <v>0</v>
      </c>
      <c r="S22" s="11" t="s">
        <v>111</v>
      </c>
    </row>
    <row r="23" spans="1:19" ht="28.5" x14ac:dyDescent="0.45">
      <c r="A23" s="4" t="s">
        <v>112</v>
      </c>
      <c r="B23" s="4" t="s">
        <v>92</v>
      </c>
      <c r="C23" s="4" t="s">
        <v>113</v>
      </c>
      <c r="D23" s="5" t="s">
        <v>114</v>
      </c>
      <c r="E23" s="6">
        <v>35.100000000000357</v>
      </c>
      <c r="F23" s="6">
        <v>2.0499999999999998</v>
      </c>
      <c r="G23" s="7" t="s">
        <v>50</v>
      </c>
      <c r="H23" s="8">
        <v>2</v>
      </c>
      <c r="I23" s="7" t="s">
        <v>115</v>
      </c>
      <c r="J23" s="8">
        <v>50</v>
      </c>
      <c r="K23" s="6">
        <v>3.5</v>
      </c>
      <c r="L23" s="6">
        <v>36</v>
      </c>
      <c r="M23" s="6">
        <v>40</v>
      </c>
      <c r="N23" s="6">
        <v>0</v>
      </c>
      <c r="O23" s="6"/>
      <c r="P23" s="9">
        <f t="shared" si="0"/>
        <v>1750</v>
      </c>
      <c r="Q23" s="9">
        <f t="shared" si="1"/>
        <v>125</v>
      </c>
      <c r="R23" s="10">
        <f t="shared" si="2"/>
        <v>0</v>
      </c>
      <c r="S23" s="11" t="s">
        <v>116</v>
      </c>
    </row>
    <row r="24" spans="1:19" ht="28.5" x14ac:dyDescent="0.45">
      <c r="A24" s="4" t="s">
        <v>117</v>
      </c>
      <c r="B24" s="4" t="s">
        <v>92</v>
      </c>
      <c r="C24" s="4" t="s">
        <v>118</v>
      </c>
      <c r="D24" s="5" t="s">
        <v>109</v>
      </c>
      <c r="E24" s="6">
        <v>96.750000000001734</v>
      </c>
      <c r="F24" s="6">
        <v>2.0499999999999998</v>
      </c>
      <c r="G24" s="7" t="s">
        <v>50</v>
      </c>
      <c r="H24" s="8">
        <v>13</v>
      </c>
      <c r="I24" s="7" t="s">
        <v>110</v>
      </c>
      <c r="J24" s="8">
        <v>50</v>
      </c>
      <c r="K24" s="6">
        <v>4</v>
      </c>
      <c r="L24" s="6">
        <v>36</v>
      </c>
      <c r="M24" s="6">
        <v>60</v>
      </c>
      <c r="N24" s="6">
        <v>0</v>
      </c>
      <c r="O24" s="6"/>
      <c r="P24" s="9">
        <f t="shared" si="0"/>
        <v>4850</v>
      </c>
      <c r="Q24" s="9">
        <f t="shared" si="1"/>
        <v>470</v>
      </c>
      <c r="R24" s="10">
        <f t="shared" si="2"/>
        <v>0</v>
      </c>
      <c r="S24" s="11" t="s">
        <v>111</v>
      </c>
    </row>
    <row r="25" spans="1:19" ht="28.5" x14ac:dyDescent="0.45">
      <c r="A25" s="4" t="s">
        <v>119</v>
      </c>
      <c r="B25" s="4" t="s">
        <v>92</v>
      </c>
      <c r="C25" s="4" t="s">
        <v>120</v>
      </c>
      <c r="D25" s="5" t="s">
        <v>114</v>
      </c>
      <c r="E25" s="6">
        <v>44.099999999999987</v>
      </c>
      <c r="F25" s="6">
        <v>2.0499999999999998</v>
      </c>
      <c r="G25" s="7" t="s">
        <v>50</v>
      </c>
      <c r="H25" s="8">
        <v>3</v>
      </c>
      <c r="I25" s="7" t="s">
        <v>115</v>
      </c>
      <c r="J25" s="8">
        <v>50</v>
      </c>
      <c r="K25" s="6">
        <v>3.5</v>
      </c>
      <c r="L25" s="6">
        <v>36</v>
      </c>
      <c r="M25" s="6">
        <v>40</v>
      </c>
      <c r="N25" s="6">
        <v>0</v>
      </c>
      <c r="O25" s="6"/>
      <c r="P25" s="9">
        <f t="shared" si="0"/>
        <v>2200</v>
      </c>
      <c r="Q25" s="9">
        <f t="shared" si="1"/>
        <v>155</v>
      </c>
      <c r="R25" s="10">
        <f t="shared" si="2"/>
        <v>0</v>
      </c>
      <c r="S25" s="11" t="s">
        <v>116</v>
      </c>
    </row>
    <row r="26" spans="1:19" ht="28.5" x14ac:dyDescent="0.45">
      <c r="A26" s="4" t="s">
        <v>121</v>
      </c>
      <c r="B26" s="4" t="s">
        <v>92</v>
      </c>
      <c r="C26" s="4" t="s">
        <v>122</v>
      </c>
      <c r="D26" s="5" t="s">
        <v>109</v>
      </c>
      <c r="E26" s="6">
        <v>57.600000000000009</v>
      </c>
      <c r="F26" s="6">
        <v>2.0499999999999998</v>
      </c>
      <c r="G26" s="7" t="s">
        <v>50</v>
      </c>
      <c r="H26" s="8">
        <v>8</v>
      </c>
      <c r="I26" s="7" t="s">
        <v>110</v>
      </c>
      <c r="J26" s="8">
        <v>50</v>
      </c>
      <c r="K26" s="6">
        <v>4</v>
      </c>
      <c r="L26" s="6">
        <v>36</v>
      </c>
      <c r="M26" s="6">
        <v>60</v>
      </c>
      <c r="N26" s="6">
        <v>0</v>
      </c>
      <c r="O26" s="6"/>
      <c r="P26" s="9">
        <f t="shared" si="0"/>
        <v>2900</v>
      </c>
      <c r="Q26" s="9">
        <f t="shared" si="1"/>
        <v>290</v>
      </c>
      <c r="R26" s="10">
        <f t="shared" si="2"/>
        <v>0</v>
      </c>
      <c r="S26" s="11" t="s">
        <v>111</v>
      </c>
    </row>
    <row r="27" spans="1:19" ht="28.5" x14ac:dyDescent="0.45">
      <c r="A27" s="4" t="s">
        <v>123</v>
      </c>
      <c r="B27" s="4" t="s">
        <v>92</v>
      </c>
      <c r="C27" s="4" t="s">
        <v>124</v>
      </c>
      <c r="D27" s="5" t="s">
        <v>94</v>
      </c>
      <c r="E27" s="6">
        <v>65.25</v>
      </c>
      <c r="F27" s="6">
        <v>2.0499999999999998</v>
      </c>
      <c r="G27" s="7" t="s">
        <v>50</v>
      </c>
      <c r="H27" s="8">
        <v>17</v>
      </c>
      <c r="I27" s="7" t="s">
        <v>95</v>
      </c>
      <c r="J27" s="8">
        <v>55</v>
      </c>
      <c r="K27" s="6">
        <v>4.5</v>
      </c>
      <c r="L27" s="6">
        <v>40</v>
      </c>
      <c r="M27" s="6">
        <v>60</v>
      </c>
      <c r="N27" s="6">
        <v>0</v>
      </c>
      <c r="O27" s="6"/>
      <c r="P27" s="9">
        <f t="shared" si="0"/>
        <v>3600</v>
      </c>
      <c r="Q27" s="9">
        <f t="shared" si="1"/>
        <v>680</v>
      </c>
      <c r="R27" s="10">
        <f t="shared" si="2"/>
        <v>0</v>
      </c>
      <c r="S27" s="11" t="s">
        <v>96</v>
      </c>
    </row>
    <row r="28" spans="1:19" ht="28.5" x14ac:dyDescent="0.45">
      <c r="A28" s="4" t="s">
        <v>125</v>
      </c>
      <c r="B28" s="4" t="s">
        <v>92</v>
      </c>
      <c r="C28" s="4" t="s">
        <v>34</v>
      </c>
      <c r="D28" s="5" t="s">
        <v>94</v>
      </c>
      <c r="E28" s="6">
        <v>28.349999999999959</v>
      </c>
      <c r="F28" s="6">
        <v>2.0499999999999998</v>
      </c>
      <c r="G28" s="7" t="s">
        <v>50</v>
      </c>
      <c r="H28" s="8">
        <v>8</v>
      </c>
      <c r="I28" s="7" t="s">
        <v>95</v>
      </c>
      <c r="J28" s="8">
        <v>55</v>
      </c>
      <c r="K28" s="6">
        <v>4.5</v>
      </c>
      <c r="L28" s="6">
        <v>40</v>
      </c>
      <c r="M28" s="6">
        <v>60</v>
      </c>
      <c r="N28" s="6">
        <v>0</v>
      </c>
      <c r="O28" s="6"/>
      <c r="P28" s="9">
        <f t="shared" si="0"/>
        <v>1550</v>
      </c>
      <c r="Q28" s="9">
        <f t="shared" si="1"/>
        <v>320</v>
      </c>
      <c r="R28" s="10">
        <f t="shared" si="2"/>
        <v>0</v>
      </c>
      <c r="S28" s="11" t="s">
        <v>96</v>
      </c>
    </row>
    <row r="29" spans="1:19" ht="28.5" x14ac:dyDescent="0.45">
      <c r="A29" s="4" t="s">
        <v>126</v>
      </c>
      <c r="B29" s="4" t="s">
        <v>92</v>
      </c>
      <c r="C29" s="4" t="s">
        <v>40</v>
      </c>
      <c r="D29" s="5" t="s">
        <v>127</v>
      </c>
      <c r="E29" s="6">
        <v>76.44</v>
      </c>
      <c r="F29" s="6">
        <v>2.0499999999999998</v>
      </c>
      <c r="G29" s="7" t="s">
        <v>50</v>
      </c>
      <c r="H29" s="8">
        <v>7</v>
      </c>
      <c r="I29" s="7" t="s">
        <v>115</v>
      </c>
      <c r="J29" s="8">
        <v>50</v>
      </c>
      <c r="K29" s="6">
        <v>3.5</v>
      </c>
      <c r="L29" s="6">
        <v>36</v>
      </c>
      <c r="M29" s="6">
        <v>40</v>
      </c>
      <c r="N29" s="6">
        <v>0</v>
      </c>
      <c r="O29" s="6"/>
      <c r="P29" s="9">
        <f t="shared" si="0"/>
        <v>3800</v>
      </c>
      <c r="Q29" s="9">
        <f t="shared" si="1"/>
        <v>270</v>
      </c>
      <c r="R29" s="10">
        <f t="shared" si="2"/>
        <v>0</v>
      </c>
      <c r="S29" s="11" t="s">
        <v>116</v>
      </c>
    </row>
    <row r="30" spans="1:19" ht="28.5" x14ac:dyDescent="0.45">
      <c r="A30" s="4" t="s">
        <v>128</v>
      </c>
      <c r="B30" s="4" t="s">
        <v>92</v>
      </c>
      <c r="C30" s="4" t="s">
        <v>42</v>
      </c>
      <c r="D30" s="5" t="s">
        <v>127</v>
      </c>
      <c r="E30" s="6">
        <v>76.44</v>
      </c>
      <c r="F30" s="6">
        <v>2.0499999999999998</v>
      </c>
      <c r="G30" s="7" t="s">
        <v>50</v>
      </c>
      <c r="H30" s="8">
        <v>7</v>
      </c>
      <c r="I30" s="7" t="s">
        <v>115</v>
      </c>
      <c r="J30" s="8">
        <v>50</v>
      </c>
      <c r="K30" s="6">
        <v>3.5</v>
      </c>
      <c r="L30" s="6">
        <v>36</v>
      </c>
      <c r="M30" s="6">
        <v>40</v>
      </c>
      <c r="N30" s="6">
        <v>0</v>
      </c>
      <c r="O30" s="6"/>
      <c r="P30" s="9">
        <f t="shared" si="0"/>
        <v>3800</v>
      </c>
      <c r="Q30" s="9">
        <f t="shared" si="1"/>
        <v>270</v>
      </c>
      <c r="R30" s="10">
        <f t="shared" si="2"/>
        <v>0</v>
      </c>
      <c r="S30" s="11" t="s">
        <v>116</v>
      </c>
    </row>
    <row r="31" spans="1:19" ht="28.5" x14ac:dyDescent="0.45">
      <c r="A31" s="4" t="s">
        <v>129</v>
      </c>
      <c r="B31" s="4" t="s">
        <v>92</v>
      </c>
      <c r="C31" s="4" t="s">
        <v>48</v>
      </c>
      <c r="D31" s="5" t="s">
        <v>114</v>
      </c>
      <c r="E31" s="6">
        <v>34.079999999999977</v>
      </c>
      <c r="F31" s="6">
        <v>2.0499999999999998</v>
      </c>
      <c r="G31" s="7" t="s">
        <v>50</v>
      </c>
      <c r="H31" s="8">
        <v>2</v>
      </c>
      <c r="I31" s="7" t="s">
        <v>115</v>
      </c>
      <c r="J31" s="8">
        <v>50</v>
      </c>
      <c r="K31" s="6">
        <v>3.5</v>
      </c>
      <c r="L31" s="6">
        <v>36</v>
      </c>
      <c r="M31" s="6">
        <v>40</v>
      </c>
      <c r="N31" s="6">
        <v>0</v>
      </c>
      <c r="O31" s="6"/>
      <c r="P31" s="9">
        <f t="shared" si="0"/>
        <v>1700</v>
      </c>
      <c r="Q31" s="9">
        <f t="shared" si="1"/>
        <v>120</v>
      </c>
      <c r="R31" s="10">
        <f t="shared" si="2"/>
        <v>0</v>
      </c>
      <c r="S31" s="11" t="s">
        <v>116</v>
      </c>
    </row>
    <row r="32" spans="1:19" ht="28.5" x14ac:dyDescent="0.45">
      <c r="A32" s="4" t="s">
        <v>130</v>
      </c>
      <c r="B32" s="4" t="s">
        <v>92</v>
      </c>
      <c r="C32" s="4" t="s">
        <v>53</v>
      </c>
      <c r="D32" s="5" t="s">
        <v>127</v>
      </c>
      <c r="E32" s="6">
        <v>76.44</v>
      </c>
      <c r="F32" s="6">
        <v>2.0499999999999998</v>
      </c>
      <c r="G32" s="7" t="s">
        <v>50</v>
      </c>
      <c r="H32" s="8">
        <v>7</v>
      </c>
      <c r="I32" s="7" t="s">
        <v>115</v>
      </c>
      <c r="J32" s="8">
        <v>50</v>
      </c>
      <c r="K32" s="6">
        <v>3.5</v>
      </c>
      <c r="L32" s="6">
        <v>36</v>
      </c>
      <c r="M32" s="6">
        <v>40</v>
      </c>
      <c r="N32" s="6">
        <v>0</v>
      </c>
      <c r="O32" s="6"/>
      <c r="P32" s="9">
        <f t="shared" si="0"/>
        <v>3800</v>
      </c>
      <c r="Q32" s="9">
        <f t="shared" si="1"/>
        <v>270</v>
      </c>
      <c r="R32" s="10">
        <f t="shared" si="2"/>
        <v>0</v>
      </c>
      <c r="S32" s="11" t="s">
        <v>116</v>
      </c>
    </row>
    <row r="33" spans="1:19" ht="28.5" x14ac:dyDescent="0.45">
      <c r="A33" s="4" t="s">
        <v>131</v>
      </c>
      <c r="B33" s="4" t="s">
        <v>92</v>
      </c>
      <c r="C33" s="4" t="s">
        <v>55</v>
      </c>
      <c r="D33" s="5" t="s">
        <v>109</v>
      </c>
      <c r="E33" s="6">
        <v>99.839999999999961</v>
      </c>
      <c r="F33" s="6">
        <v>2.0499999999999998</v>
      </c>
      <c r="G33" s="7" t="s">
        <v>50</v>
      </c>
      <c r="H33" s="8">
        <v>13</v>
      </c>
      <c r="I33" s="7" t="s">
        <v>110</v>
      </c>
      <c r="J33" s="8">
        <v>50</v>
      </c>
      <c r="K33" s="6">
        <v>4</v>
      </c>
      <c r="L33" s="6">
        <v>36</v>
      </c>
      <c r="M33" s="6">
        <v>60</v>
      </c>
      <c r="N33" s="6">
        <v>0</v>
      </c>
      <c r="O33" s="6"/>
      <c r="P33" s="9">
        <f t="shared" si="0"/>
        <v>5000</v>
      </c>
      <c r="Q33" s="9">
        <f t="shared" si="1"/>
        <v>470</v>
      </c>
      <c r="R33" s="10">
        <f t="shared" si="2"/>
        <v>0</v>
      </c>
      <c r="S33" s="11" t="s">
        <v>111</v>
      </c>
    </row>
    <row r="34" spans="1:19" ht="28.5" x14ac:dyDescent="0.45">
      <c r="A34" s="4" t="s">
        <v>132</v>
      </c>
      <c r="B34" s="4" t="s">
        <v>92</v>
      </c>
      <c r="C34" s="4" t="s">
        <v>57</v>
      </c>
      <c r="D34" s="5" t="s">
        <v>127</v>
      </c>
      <c r="E34" s="6">
        <v>76.44</v>
      </c>
      <c r="F34" s="6">
        <v>2.0499999999999998</v>
      </c>
      <c r="G34" s="7" t="s">
        <v>50</v>
      </c>
      <c r="H34" s="8">
        <v>7</v>
      </c>
      <c r="I34" s="7" t="s">
        <v>115</v>
      </c>
      <c r="J34" s="8">
        <v>50</v>
      </c>
      <c r="K34" s="6">
        <v>3.5</v>
      </c>
      <c r="L34" s="6">
        <v>36</v>
      </c>
      <c r="M34" s="6">
        <v>40</v>
      </c>
      <c r="N34" s="6">
        <v>0</v>
      </c>
      <c r="O34" s="6"/>
      <c r="P34" s="9">
        <f t="shared" ref="P34:P65" si="3">IF(OR(I34="SHAFT",I34="LIFT"),0,IF(G34="unbeheizt",0,IF(G34="kalt",ROUND(E34*MIN(J34,10)/50,0)*50,ROUND(E34*J34/50,0)*50)))</f>
        <v>3800</v>
      </c>
      <c r="Q34" s="9">
        <f t="shared" ref="Q34:Q65" si="4">IF(MAX(K34,L34,M34)=0,0,MAX(M34,ROUND(MAX(E34*K34,H34*L34)/5,0)*5))</f>
        <v>270</v>
      </c>
      <c r="R34" s="10">
        <f t="shared" ref="R34:R65" si="5">ROUND(IF(O34&lt;&gt;"",O34,N34),2)</f>
        <v>0</v>
      </c>
      <c r="S34" s="11" t="s">
        <v>116</v>
      </c>
    </row>
    <row r="35" spans="1:19" ht="28.5" x14ac:dyDescent="0.45">
      <c r="A35" s="4" t="s">
        <v>133</v>
      </c>
      <c r="B35" s="4" t="s">
        <v>92</v>
      </c>
      <c r="C35" s="4" t="s">
        <v>134</v>
      </c>
      <c r="D35" s="5" t="s">
        <v>94</v>
      </c>
      <c r="E35" s="6">
        <v>27.29999999999993</v>
      </c>
      <c r="F35" s="6">
        <v>2.0499999999999998</v>
      </c>
      <c r="G35" s="7" t="s">
        <v>50</v>
      </c>
      <c r="H35" s="8">
        <v>7</v>
      </c>
      <c r="I35" s="7" t="s">
        <v>95</v>
      </c>
      <c r="J35" s="8">
        <v>55</v>
      </c>
      <c r="K35" s="6">
        <v>4.5</v>
      </c>
      <c r="L35" s="6">
        <v>40</v>
      </c>
      <c r="M35" s="6">
        <v>60</v>
      </c>
      <c r="N35" s="6">
        <v>0</v>
      </c>
      <c r="O35" s="6"/>
      <c r="P35" s="9">
        <f t="shared" si="3"/>
        <v>1500</v>
      </c>
      <c r="Q35" s="9">
        <f t="shared" si="4"/>
        <v>280</v>
      </c>
      <c r="R35" s="10">
        <f t="shared" si="5"/>
        <v>0</v>
      </c>
      <c r="S35" s="11" t="s">
        <v>96</v>
      </c>
    </row>
    <row r="36" spans="1:19" ht="28.5" x14ac:dyDescent="0.45">
      <c r="A36" s="4" t="s">
        <v>135</v>
      </c>
      <c r="B36" s="4" t="s">
        <v>92</v>
      </c>
      <c r="C36" s="4" t="s">
        <v>136</v>
      </c>
      <c r="D36" s="5" t="s">
        <v>69</v>
      </c>
      <c r="E36" s="6">
        <v>121.5</v>
      </c>
      <c r="F36" s="6">
        <v>2.0499999999999998</v>
      </c>
      <c r="G36" s="7" t="s">
        <v>50</v>
      </c>
      <c r="H36" s="8">
        <v>0</v>
      </c>
      <c r="I36" s="7" t="s">
        <v>70</v>
      </c>
      <c r="J36" s="8">
        <v>25</v>
      </c>
      <c r="K36" s="6">
        <v>1.5</v>
      </c>
      <c r="L36" s="6">
        <v>0</v>
      </c>
      <c r="M36" s="6">
        <v>20</v>
      </c>
      <c r="N36" s="6">
        <v>0</v>
      </c>
      <c r="O36" s="6"/>
      <c r="P36" s="9">
        <f t="shared" si="3"/>
        <v>3050</v>
      </c>
      <c r="Q36" s="9">
        <f t="shared" si="4"/>
        <v>180</v>
      </c>
      <c r="R36" s="10">
        <f t="shared" si="5"/>
        <v>0</v>
      </c>
      <c r="S36" s="11" t="s">
        <v>71</v>
      </c>
    </row>
    <row r="37" spans="1:19" ht="28.5" x14ac:dyDescent="0.45">
      <c r="A37" s="4" t="s">
        <v>137</v>
      </c>
      <c r="B37" s="4" t="s">
        <v>92</v>
      </c>
      <c r="C37" s="4" t="s">
        <v>138</v>
      </c>
      <c r="D37" s="5" t="s">
        <v>69</v>
      </c>
      <c r="E37" s="6">
        <v>76.500000000000028</v>
      </c>
      <c r="F37" s="6">
        <v>2.0499999999999998</v>
      </c>
      <c r="G37" s="7" t="s">
        <v>50</v>
      </c>
      <c r="H37" s="8">
        <v>0</v>
      </c>
      <c r="I37" s="7" t="s">
        <v>70</v>
      </c>
      <c r="J37" s="8">
        <v>25</v>
      </c>
      <c r="K37" s="6">
        <v>1.5</v>
      </c>
      <c r="L37" s="6">
        <v>0</v>
      </c>
      <c r="M37" s="6">
        <v>20</v>
      </c>
      <c r="N37" s="6">
        <v>0</v>
      </c>
      <c r="O37" s="6"/>
      <c r="P37" s="9">
        <f t="shared" si="3"/>
        <v>1900</v>
      </c>
      <c r="Q37" s="9">
        <f t="shared" si="4"/>
        <v>115</v>
      </c>
      <c r="R37" s="10">
        <f t="shared" si="5"/>
        <v>0</v>
      </c>
      <c r="S37" s="11" t="s">
        <v>71</v>
      </c>
    </row>
    <row r="38" spans="1:19" x14ac:dyDescent="0.45">
      <c r="A38" s="4" t="s">
        <v>139</v>
      </c>
      <c r="B38" s="4" t="s">
        <v>92</v>
      </c>
      <c r="C38" s="4" t="s">
        <v>59</v>
      </c>
      <c r="D38" s="5" t="s">
        <v>60</v>
      </c>
      <c r="E38" s="6">
        <v>21.599999999999959</v>
      </c>
      <c r="F38" s="6">
        <v>2.0499999999999998</v>
      </c>
      <c r="G38" s="7" t="s">
        <v>44</v>
      </c>
      <c r="H38" s="8">
        <v>0</v>
      </c>
      <c r="I38" s="7" t="s">
        <v>61</v>
      </c>
      <c r="J38" s="8">
        <v>0</v>
      </c>
      <c r="K38" s="6">
        <v>0</v>
      </c>
      <c r="L38" s="6">
        <v>0</v>
      </c>
      <c r="M38" s="6">
        <v>0</v>
      </c>
      <c r="N38" s="6">
        <v>0</v>
      </c>
      <c r="O38" s="6"/>
      <c r="P38" s="9">
        <f t="shared" si="3"/>
        <v>0</v>
      </c>
      <c r="Q38" s="9">
        <f t="shared" si="4"/>
        <v>0</v>
      </c>
      <c r="R38" s="10">
        <f t="shared" si="5"/>
        <v>0</v>
      </c>
      <c r="S38" s="11" t="s">
        <v>46</v>
      </c>
    </row>
    <row r="39" spans="1:19" ht="28.5" x14ac:dyDescent="0.45">
      <c r="A39" s="4" t="s">
        <v>140</v>
      </c>
      <c r="B39" s="4" t="s">
        <v>92</v>
      </c>
      <c r="C39" s="4" t="s">
        <v>63</v>
      </c>
      <c r="D39" s="5" t="s">
        <v>64</v>
      </c>
      <c r="E39" s="6">
        <v>157.44000000000011</v>
      </c>
      <c r="F39" s="6">
        <v>2.0499999999999998</v>
      </c>
      <c r="G39" s="7" t="s">
        <v>36</v>
      </c>
      <c r="H39" s="8">
        <v>0</v>
      </c>
      <c r="I39" s="7" t="s">
        <v>65</v>
      </c>
      <c r="J39" s="8">
        <v>15</v>
      </c>
      <c r="K39" s="6">
        <v>1</v>
      </c>
      <c r="L39" s="6">
        <v>0</v>
      </c>
      <c r="M39" s="6">
        <v>15</v>
      </c>
      <c r="N39" s="6">
        <v>0</v>
      </c>
      <c r="O39" s="6"/>
      <c r="P39" s="9">
        <f t="shared" si="3"/>
        <v>1550</v>
      </c>
      <c r="Q39" s="9">
        <f t="shared" si="4"/>
        <v>155</v>
      </c>
      <c r="R39" s="10">
        <f t="shared" si="5"/>
        <v>0</v>
      </c>
      <c r="S39" s="11" t="s">
        <v>66</v>
      </c>
    </row>
    <row r="40" spans="1:19" ht="28.5" x14ac:dyDescent="0.45">
      <c r="A40" s="4" t="s">
        <v>141</v>
      </c>
      <c r="B40" s="4" t="s">
        <v>92</v>
      </c>
      <c r="C40" s="4" t="s">
        <v>68</v>
      </c>
      <c r="D40" s="5" t="s">
        <v>69</v>
      </c>
      <c r="E40" s="6">
        <v>99.84</v>
      </c>
      <c r="F40" s="6">
        <v>2.0499999999999998</v>
      </c>
      <c r="G40" s="7" t="s">
        <v>50</v>
      </c>
      <c r="H40" s="8">
        <v>0</v>
      </c>
      <c r="I40" s="7" t="s">
        <v>70</v>
      </c>
      <c r="J40" s="8">
        <v>25</v>
      </c>
      <c r="K40" s="6">
        <v>1.5</v>
      </c>
      <c r="L40" s="6">
        <v>0</v>
      </c>
      <c r="M40" s="6">
        <v>20</v>
      </c>
      <c r="N40" s="6">
        <v>0</v>
      </c>
      <c r="O40" s="6"/>
      <c r="P40" s="9">
        <f t="shared" si="3"/>
        <v>2500</v>
      </c>
      <c r="Q40" s="9">
        <f t="shared" si="4"/>
        <v>150</v>
      </c>
      <c r="R40" s="10">
        <f t="shared" si="5"/>
        <v>0</v>
      </c>
      <c r="S40" s="11" t="s">
        <v>71</v>
      </c>
    </row>
    <row r="41" spans="1:19" ht="28.5" x14ac:dyDescent="0.45">
      <c r="A41" s="4" t="s">
        <v>142</v>
      </c>
      <c r="B41" s="4" t="s">
        <v>92</v>
      </c>
      <c r="C41" s="4" t="s">
        <v>73</v>
      </c>
      <c r="D41" s="5" t="s">
        <v>69</v>
      </c>
      <c r="E41" s="6">
        <v>11.03999999999999</v>
      </c>
      <c r="F41" s="6">
        <v>2.0499999999999998</v>
      </c>
      <c r="G41" s="7" t="s">
        <v>50</v>
      </c>
      <c r="H41" s="8">
        <v>0</v>
      </c>
      <c r="I41" s="7" t="s">
        <v>70</v>
      </c>
      <c r="J41" s="8">
        <v>25</v>
      </c>
      <c r="K41" s="6">
        <v>1.5</v>
      </c>
      <c r="L41" s="6">
        <v>0</v>
      </c>
      <c r="M41" s="6">
        <v>20</v>
      </c>
      <c r="N41" s="6">
        <v>0</v>
      </c>
      <c r="O41" s="6"/>
      <c r="P41" s="9">
        <f t="shared" si="3"/>
        <v>300</v>
      </c>
      <c r="Q41" s="9">
        <f t="shared" si="4"/>
        <v>20</v>
      </c>
      <c r="R41" s="10">
        <f t="shared" si="5"/>
        <v>0</v>
      </c>
      <c r="S41" s="11" t="s">
        <v>71</v>
      </c>
    </row>
    <row r="42" spans="1:19" ht="28.5" x14ac:dyDescent="0.45">
      <c r="A42" s="4" t="s">
        <v>143</v>
      </c>
      <c r="B42" s="4" t="s">
        <v>92</v>
      </c>
      <c r="C42" s="4" t="s">
        <v>144</v>
      </c>
      <c r="D42" s="5" t="s">
        <v>145</v>
      </c>
      <c r="E42" s="6">
        <v>20.63999999999999</v>
      </c>
      <c r="F42" s="6">
        <v>2.0499999999999998</v>
      </c>
      <c r="G42" s="7" t="s">
        <v>50</v>
      </c>
      <c r="H42" s="8">
        <v>0</v>
      </c>
      <c r="I42" s="7" t="s">
        <v>146</v>
      </c>
      <c r="J42" s="8">
        <v>30</v>
      </c>
      <c r="K42" s="6">
        <v>4</v>
      </c>
      <c r="L42" s="6">
        <v>0</v>
      </c>
      <c r="M42" s="6">
        <v>40</v>
      </c>
      <c r="N42" s="6">
        <v>0.1</v>
      </c>
      <c r="O42" s="6"/>
      <c r="P42" s="9">
        <f t="shared" si="3"/>
        <v>600</v>
      </c>
      <c r="Q42" s="9">
        <f t="shared" si="4"/>
        <v>85</v>
      </c>
      <c r="R42" s="10">
        <f t="shared" si="5"/>
        <v>0.1</v>
      </c>
      <c r="S42" s="11" t="s">
        <v>147</v>
      </c>
    </row>
    <row r="43" spans="1:19" ht="28.5" x14ac:dyDescent="0.45">
      <c r="A43" s="4" t="s">
        <v>148</v>
      </c>
      <c r="B43" s="4" t="s">
        <v>92</v>
      </c>
      <c r="C43" s="4" t="s">
        <v>75</v>
      </c>
      <c r="D43" s="5" t="s">
        <v>76</v>
      </c>
      <c r="E43" s="6">
        <v>11.03999999999999</v>
      </c>
      <c r="F43" s="6">
        <v>2.0499999999999998</v>
      </c>
      <c r="G43" s="7" t="s">
        <v>50</v>
      </c>
      <c r="H43" s="8">
        <v>0</v>
      </c>
      <c r="I43" s="7" t="s">
        <v>77</v>
      </c>
      <c r="J43" s="8">
        <v>35</v>
      </c>
      <c r="K43" s="6">
        <v>8</v>
      </c>
      <c r="L43" s="6">
        <v>0</v>
      </c>
      <c r="M43" s="6">
        <v>60</v>
      </c>
      <c r="N43" s="6">
        <v>0.2</v>
      </c>
      <c r="O43" s="6"/>
      <c r="P43" s="9">
        <f t="shared" si="3"/>
        <v>400</v>
      </c>
      <c r="Q43" s="9">
        <f t="shared" si="4"/>
        <v>90</v>
      </c>
      <c r="R43" s="10">
        <f t="shared" si="5"/>
        <v>0.2</v>
      </c>
      <c r="S43" s="11" t="s">
        <v>78</v>
      </c>
    </row>
    <row r="44" spans="1:19" x14ac:dyDescent="0.45">
      <c r="A44" s="4" t="s">
        <v>149</v>
      </c>
      <c r="B44" s="4" t="s">
        <v>92</v>
      </c>
      <c r="C44" s="4" t="s">
        <v>80</v>
      </c>
      <c r="D44" s="5" t="s">
        <v>81</v>
      </c>
      <c r="E44" s="6">
        <v>5.8499999999999952</v>
      </c>
      <c r="F44" s="6">
        <v>2.0499999999999998</v>
      </c>
      <c r="G44" s="7" t="s">
        <v>44</v>
      </c>
      <c r="H44" s="8">
        <v>0</v>
      </c>
      <c r="I44" s="7" t="s">
        <v>82</v>
      </c>
      <c r="J44" s="8">
        <v>0</v>
      </c>
      <c r="K44" s="6">
        <v>0</v>
      </c>
      <c r="L44" s="6">
        <v>0</v>
      </c>
      <c r="M44" s="6">
        <v>0</v>
      </c>
      <c r="N44" s="6">
        <v>0</v>
      </c>
      <c r="O44" s="6"/>
      <c r="P44" s="9">
        <f t="shared" si="3"/>
        <v>0</v>
      </c>
      <c r="Q44" s="9">
        <f t="shared" si="4"/>
        <v>0</v>
      </c>
      <c r="R44" s="10">
        <f t="shared" si="5"/>
        <v>0</v>
      </c>
      <c r="S44" s="11" t="s">
        <v>46</v>
      </c>
    </row>
    <row r="45" spans="1:19" x14ac:dyDescent="0.45">
      <c r="A45" s="4" t="s">
        <v>150</v>
      </c>
      <c r="B45" s="4" t="s">
        <v>92</v>
      </c>
      <c r="C45" s="4" t="s">
        <v>84</v>
      </c>
      <c r="D45" s="5" t="s">
        <v>81</v>
      </c>
      <c r="E45" s="6">
        <v>13.44</v>
      </c>
      <c r="F45" s="6">
        <v>2.0499999999999998</v>
      </c>
      <c r="G45" s="7" t="s">
        <v>44</v>
      </c>
      <c r="H45" s="8">
        <v>0</v>
      </c>
      <c r="I45" s="7" t="s">
        <v>82</v>
      </c>
      <c r="J45" s="8">
        <v>0</v>
      </c>
      <c r="K45" s="6">
        <v>0</v>
      </c>
      <c r="L45" s="6">
        <v>0</v>
      </c>
      <c r="M45" s="6">
        <v>0</v>
      </c>
      <c r="N45" s="6">
        <v>0</v>
      </c>
      <c r="O45" s="6"/>
      <c r="P45" s="9">
        <f t="shared" si="3"/>
        <v>0</v>
      </c>
      <c r="Q45" s="9">
        <f t="shared" si="4"/>
        <v>0</v>
      </c>
      <c r="R45" s="10">
        <f t="shared" si="5"/>
        <v>0</v>
      </c>
      <c r="S45" s="11" t="s">
        <v>46</v>
      </c>
    </row>
    <row r="46" spans="1:19" x14ac:dyDescent="0.45">
      <c r="A46" s="4" t="s">
        <v>151</v>
      </c>
      <c r="B46" s="4" t="s">
        <v>92</v>
      </c>
      <c r="C46" s="4" t="s">
        <v>86</v>
      </c>
      <c r="D46" s="5" t="s">
        <v>81</v>
      </c>
      <c r="E46" s="6">
        <v>1.4400000000000031</v>
      </c>
      <c r="F46" s="6">
        <v>2.0499999999999998</v>
      </c>
      <c r="G46" s="7" t="s">
        <v>44</v>
      </c>
      <c r="H46" s="8">
        <v>0</v>
      </c>
      <c r="I46" s="7" t="s">
        <v>82</v>
      </c>
      <c r="J46" s="8">
        <v>0</v>
      </c>
      <c r="K46" s="6">
        <v>0</v>
      </c>
      <c r="L46" s="6">
        <v>0</v>
      </c>
      <c r="M46" s="6">
        <v>0</v>
      </c>
      <c r="N46" s="6">
        <v>0</v>
      </c>
      <c r="O46" s="6"/>
      <c r="P46" s="9">
        <f t="shared" si="3"/>
        <v>0</v>
      </c>
      <c r="Q46" s="9">
        <f t="shared" si="4"/>
        <v>0</v>
      </c>
      <c r="R46" s="10">
        <f t="shared" si="5"/>
        <v>0</v>
      </c>
      <c r="S46" s="11" t="s">
        <v>46</v>
      </c>
    </row>
    <row r="47" spans="1:19" x14ac:dyDescent="0.45">
      <c r="A47" s="4" t="s">
        <v>152</v>
      </c>
      <c r="B47" s="4" t="s">
        <v>92</v>
      </c>
      <c r="C47" s="4" t="s">
        <v>88</v>
      </c>
      <c r="D47" s="5" t="s">
        <v>81</v>
      </c>
      <c r="E47" s="6">
        <v>2.399999999999999</v>
      </c>
      <c r="F47" s="6">
        <v>2.0499999999999998</v>
      </c>
      <c r="G47" s="7" t="s">
        <v>44</v>
      </c>
      <c r="H47" s="8">
        <v>0</v>
      </c>
      <c r="I47" s="7" t="s">
        <v>82</v>
      </c>
      <c r="J47" s="8">
        <v>0</v>
      </c>
      <c r="K47" s="6">
        <v>0</v>
      </c>
      <c r="L47" s="6">
        <v>0</v>
      </c>
      <c r="M47" s="6">
        <v>0</v>
      </c>
      <c r="N47" s="6">
        <v>0</v>
      </c>
      <c r="O47" s="6"/>
      <c r="P47" s="9">
        <f t="shared" si="3"/>
        <v>0</v>
      </c>
      <c r="Q47" s="9">
        <f t="shared" si="4"/>
        <v>0</v>
      </c>
      <c r="R47" s="10">
        <f t="shared" si="5"/>
        <v>0</v>
      </c>
      <c r="S47" s="11" t="s">
        <v>46</v>
      </c>
    </row>
    <row r="48" spans="1:19" x14ac:dyDescent="0.45">
      <c r="A48" s="4" t="s">
        <v>153</v>
      </c>
      <c r="B48" s="4" t="s">
        <v>92</v>
      </c>
      <c r="C48" s="4" t="s">
        <v>90</v>
      </c>
      <c r="D48" s="5" t="s">
        <v>81</v>
      </c>
      <c r="E48" s="6">
        <v>6.2400000000000233</v>
      </c>
      <c r="F48" s="6">
        <v>2.0499999999999998</v>
      </c>
      <c r="G48" s="7" t="s">
        <v>44</v>
      </c>
      <c r="H48" s="8">
        <v>0</v>
      </c>
      <c r="I48" s="7" t="s">
        <v>82</v>
      </c>
      <c r="J48" s="8">
        <v>0</v>
      </c>
      <c r="K48" s="6">
        <v>0</v>
      </c>
      <c r="L48" s="6">
        <v>0</v>
      </c>
      <c r="M48" s="6">
        <v>0</v>
      </c>
      <c r="N48" s="6">
        <v>0</v>
      </c>
      <c r="O48" s="6"/>
      <c r="P48" s="9">
        <f t="shared" si="3"/>
        <v>0</v>
      </c>
      <c r="Q48" s="9">
        <f t="shared" si="4"/>
        <v>0</v>
      </c>
      <c r="R48" s="10">
        <f t="shared" si="5"/>
        <v>0</v>
      </c>
      <c r="S48" s="11" t="s">
        <v>46</v>
      </c>
    </row>
    <row r="49" spans="1:19" ht="28.5" x14ac:dyDescent="0.45">
      <c r="A49" s="4" t="s">
        <v>154</v>
      </c>
      <c r="B49" s="4" t="s">
        <v>155</v>
      </c>
      <c r="C49" s="4" t="s">
        <v>93</v>
      </c>
      <c r="D49" s="5" t="s">
        <v>94</v>
      </c>
      <c r="E49" s="6">
        <v>65.250000000000213</v>
      </c>
      <c r="F49" s="6">
        <v>2.0499999999999998</v>
      </c>
      <c r="G49" s="7" t="s">
        <v>50</v>
      </c>
      <c r="H49" s="8">
        <v>17</v>
      </c>
      <c r="I49" s="7" t="s">
        <v>95</v>
      </c>
      <c r="J49" s="8">
        <v>55</v>
      </c>
      <c r="K49" s="6">
        <v>4.5</v>
      </c>
      <c r="L49" s="6">
        <v>40</v>
      </c>
      <c r="M49" s="6">
        <v>60</v>
      </c>
      <c r="N49" s="6">
        <v>0</v>
      </c>
      <c r="O49" s="6"/>
      <c r="P49" s="9">
        <f t="shared" si="3"/>
        <v>3600</v>
      </c>
      <c r="Q49" s="9">
        <f t="shared" si="4"/>
        <v>680</v>
      </c>
      <c r="R49" s="10">
        <f t="shared" si="5"/>
        <v>0</v>
      </c>
      <c r="S49" s="11" t="s">
        <v>96</v>
      </c>
    </row>
    <row r="50" spans="1:19" ht="28.5" x14ac:dyDescent="0.45">
      <c r="A50" s="4" t="s">
        <v>156</v>
      </c>
      <c r="B50" s="4" t="s">
        <v>155</v>
      </c>
      <c r="C50" s="4" t="s">
        <v>98</v>
      </c>
      <c r="D50" s="5" t="s">
        <v>99</v>
      </c>
      <c r="E50" s="6">
        <v>57.600000000000577</v>
      </c>
      <c r="F50" s="6">
        <v>2.0499999999999998</v>
      </c>
      <c r="G50" s="7" t="s">
        <v>50</v>
      </c>
      <c r="H50" s="8">
        <v>6</v>
      </c>
      <c r="I50" s="7" t="s">
        <v>100</v>
      </c>
      <c r="J50" s="8">
        <v>60</v>
      </c>
      <c r="K50" s="6">
        <v>6.5</v>
      </c>
      <c r="L50" s="6">
        <v>20</v>
      </c>
      <c r="M50" s="6">
        <v>150</v>
      </c>
      <c r="N50" s="6">
        <v>0.12</v>
      </c>
      <c r="O50" s="6"/>
      <c r="P50" s="9">
        <f t="shared" si="3"/>
        <v>3450</v>
      </c>
      <c r="Q50" s="9">
        <f t="shared" si="4"/>
        <v>375</v>
      </c>
      <c r="R50" s="10">
        <f t="shared" si="5"/>
        <v>0.12</v>
      </c>
      <c r="S50" s="11" t="s">
        <v>101</v>
      </c>
    </row>
    <row r="51" spans="1:19" ht="28.5" x14ac:dyDescent="0.45">
      <c r="A51" s="4" t="s">
        <v>157</v>
      </c>
      <c r="B51" s="4" t="s">
        <v>155</v>
      </c>
      <c r="C51" s="4" t="s">
        <v>103</v>
      </c>
      <c r="D51" s="5" t="s">
        <v>104</v>
      </c>
      <c r="E51" s="6">
        <v>44.100000000000549</v>
      </c>
      <c r="F51" s="6">
        <v>2.0499999999999998</v>
      </c>
      <c r="G51" s="7" t="s">
        <v>50</v>
      </c>
      <c r="H51" s="8">
        <v>4</v>
      </c>
      <c r="I51" s="7" t="s">
        <v>105</v>
      </c>
      <c r="J51" s="8">
        <v>65</v>
      </c>
      <c r="K51" s="6">
        <v>6</v>
      </c>
      <c r="L51" s="6">
        <v>50</v>
      </c>
      <c r="M51" s="6">
        <v>120</v>
      </c>
      <c r="N51" s="6">
        <v>0.05</v>
      </c>
      <c r="O51" s="6"/>
      <c r="P51" s="9">
        <f t="shared" si="3"/>
        <v>2850</v>
      </c>
      <c r="Q51" s="9">
        <f t="shared" si="4"/>
        <v>265</v>
      </c>
      <c r="R51" s="10">
        <f t="shared" si="5"/>
        <v>0.05</v>
      </c>
      <c r="S51" s="11" t="s">
        <v>106</v>
      </c>
    </row>
    <row r="52" spans="1:19" ht="28.5" x14ac:dyDescent="0.45">
      <c r="A52" s="4" t="s">
        <v>158</v>
      </c>
      <c r="B52" s="4" t="s">
        <v>155</v>
      </c>
      <c r="C52" s="4" t="s">
        <v>108</v>
      </c>
      <c r="D52" s="5" t="s">
        <v>109</v>
      </c>
      <c r="E52" s="6">
        <v>83.25000000000108</v>
      </c>
      <c r="F52" s="6">
        <v>2.0499999999999998</v>
      </c>
      <c r="G52" s="7" t="s">
        <v>50</v>
      </c>
      <c r="H52" s="8">
        <v>11</v>
      </c>
      <c r="I52" s="7" t="s">
        <v>110</v>
      </c>
      <c r="J52" s="8">
        <v>50</v>
      </c>
      <c r="K52" s="6">
        <v>4</v>
      </c>
      <c r="L52" s="6">
        <v>36</v>
      </c>
      <c r="M52" s="6">
        <v>60</v>
      </c>
      <c r="N52" s="6">
        <v>0</v>
      </c>
      <c r="O52" s="6"/>
      <c r="P52" s="9">
        <f t="shared" si="3"/>
        <v>4150</v>
      </c>
      <c r="Q52" s="9">
        <f t="shared" si="4"/>
        <v>395</v>
      </c>
      <c r="R52" s="10">
        <f t="shared" si="5"/>
        <v>0</v>
      </c>
      <c r="S52" s="11" t="s">
        <v>111</v>
      </c>
    </row>
    <row r="53" spans="1:19" ht="28.5" x14ac:dyDescent="0.45">
      <c r="A53" s="4" t="s">
        <v>159</v>
      </c>
      <c r="B53" s="4" t="s">
        <v>155</v>
      </c>
      <c r="C53" s="4" t="s">
        <v>113</v>
      </c>
      <c r="D53" s="5" t="s">
        <v>114</v>
      </c>
      <c r="E53" s="6">
        <v>35.100000000000357</v>
      </c>
      <c r="F53" s="6">
        <v>2.0499999999999998</v>
      </c>
      <c r="G53" s="7" t="s">
        <v>50</v>
      </c>
      <c r="H53" s="8">
        <v>2</v>
      </c>
      <c r="I53" s="7" t="s">
        <v>115</v>
      </c>
      <c r="J53" s="8">
        <v>50</v>
      </c>
      <c r="K53" s="6">
        <v>3.5</v>
      </c>
      <c r="L53" s="6">
        <v>36</v>
      </c>
      <c r="M53" s="6">
        <v>40</v>
      </c>
      <c r="N53" s="6">
        <v>0</v>
      </c>
      <c r="O53" s="6"/>
      <c r="P53" s="9">
        <f t="shared" si="3"/>
        <v>1750</v>
      </c>
      <c r="Q53" s="9">
        <f t="shared" si="4"/>
        <v>125</v>
      </c>
      <c r="R53" s="10">
        <f t="shared" si="5"/>
        <v>0</v>
      </c>
      <c r="S53" s="11" t="s">
        <v>116</v>
      </c>
    </row>
    <row r="54" spans="1:19" ht="28.5" x14ac:dyDescent="0.45">
      <c r="A54" s="4" t="s">
        <v>160</v>
      </c>
      <c r="B54" s="4" t="s">
        <v>155</v>
      </c>
      <c r="C54" s="4" t="s">
        <v>118</v>
      </c>
      <c r="D54" s="5" t="s">
        <v>109</v>
      </c>
      <c r="E54" s="6">
        <v>96.750000000001734</v>
      </c>
      <c r="F54" s="6">
        <v>2.0499999999999998</v>
      </c>
      <c r="G54" s="7" t="s">
        <v>50</v>
      </c>
      <c r="H54" s="8">
        <v>13</v>
      </c>
      <c r="I54" s="7" t="s">
        <v>110</v>
      </c>
      <c r="J54" s="8">
        <v>50</v>
      </c>
      <c r="K54" s="6">
        <v>4</v>
      </c>
      <c r="L54" s="6">
        <v>36</v>
      </c>
      <c r="M54" s="6">
        <v>60</v>
      </c>
      <c r="N54" s="6">
        <v>0</v>
      </c>
      <c r="O54" s="6"/>
      <c r="P54" s="9">
        <f t="shared" si="3"/>
        <v>4850</v>
      </c>
      <c r="Q54" s="9">
        <f t="shared" si="4"/>
        <v>470</v>
      </c>
      <c r="R54" s="10">
        <f t="shared" si="5"/>
        <v>0</v>
      </c>
      <c r="S54" s="11" t="s">
        <v>111</v>
      </c>
    </row>
    <row r="55" spans="1:19" ht="28.5" x14ac:dyDescent="0.45">
      <c r="A55" s="4" t="s">
        <v>161</v>
      </c>
      <c r="B55" s="4" t="s">
        <v>155</v>
      </c>
      <c r="C55" s="4" t="s">
        <v>120</v>
      </c>
      <c r="D55" s="5" t="s">
        <v>114</v>
      </c>
      <c r="E55" s="6">
        <v>44.099999999999987</v>
      </c>
      <c r="F55" s="6">
        <v>2.0499999999999998</v>
      </c>
      <c r="G55" s="7" t="s">
        <v>50</v>
      </c>
      <c r="H55" s="8">
        <v>3</v>
      </c>
      <c r="I55" s="7" t="s">
        <v>115</v>
      </c>
      <c r="J55" s="8">
        <v>50</v>
      </c>
      <c r="K55" s="6">
        <v>3.5</v>
      </c>
      <c r="L55" s="6">
        <v>36</v>
      </c>
      <c r="M55" s="6">
        <v>40</v>
      </c>
      <c r="N55" s="6">
        <v>0</v>
      </c>
      <c r="O55" s="6"/>
      <c r="P55" s="9">
        <f t="shared" si="3"/>
        <v>2200</v>
      </c>
      <c r="Q55" s="9">
        <f t="shared" si="4"/>
        <v>155</v>
      </c>
      <c r="R55" s="10">
        <f t="shared" si="5"/>
        <v>0</v>
      </c>
      <c r="S55" s="11" t="s">
        <v>116</v>
      </c>
    </row>
    <row r="56" spans="1:19" ht="28.5" x14ac:dyDescent="0.45">
      <c r="A56" s="4" t="s">
        <v>162</v>
      </c>
      <c r="B56" s="4" t="s">
        <v>155</v>
      </c>
      <c r="C56" s="4" t="s">
        <v>122</v>
      </c>
      <c r="D56" s="5" t="s">
        <v>109</v>
      </c>
      <c r="E56" s="6">
        <v>57.600000000000009</v>
      </c>
      <c r="F56" s="6">
        <v>2.0499999999999998</v>
      </c>
      <c r="G56" s="7" t="s">
        <v>50</v>
      </c>
      <c r="H56" s="8">
        <v>8</v>
      </c>
      <c r="I56" s="7" t="s">
        <v>110</v>
      </c>
      <c r="J56" s="8">
        <v>50</v>
      </c>
      <c r="K56" s="6">
        <v>4</v>
      </c>
      <c r="L56" s="6">
        <v>36</v>
      </c>
      <c r="M56" s="6">
        <v>60</v>
      </c>
      <c r="N56" s="6">
        <v>0</v>
      </c>
      <c r="O56" s="6"/>
      <c r="P56" s="9">
        <f t="shared" si="3"/>
        <v>2900</v>
      </c>
      <c r="Q56" s="9">
        <f t="shared" si="4"/>
        <v>290</v>
      </c>
      <c r="R56" s="10">
        <f t="shared" si="5"/>
        <v>0</v>
      </c>
      <c r="S56" s="11" t="s">
        <v>111</v>
      </c>
    </row>
    <row r="57" spans="1:19" ht="28.5" x14ac:dyDescent="0.45">
      <c r="A57" s="4" t="s">
        <v>163</v>
      </c>
      <c r="B57" s="4" t="s">
        <v>155</v>
      </c>
      <c r="C57" s="4" t="s">
        <v>124</v>
      </c>
      <c r="D57" s="5" t="s">
        <v>94</v>
      </c>
      <c r="E57" s="6">
        <v>65.25</v>
      </c>
      <c r="F57" s="6">
        <v>2.0499999999999998</v>
      </c>
      <c r="G57" s="7" t="s">
        <v>50</v>
      </c>
      <c r="H57" s="8">
        <v>17</v>
      </c>
      <c r="I57" s="7" t="s">
        <v>95</v>
      </c>
      <c r="J57" s="8">
        <v>55</v>
      </c>
      <c r="K57" s="6">
        <v>4.5</v>
      </c>
      <c r="L57" s="6">
        <v>40</v>
      </c>
      <c r="M57" s="6">
        <v>60</v>
      </c>
      <c r="N57" s="6">
        <v>0</v>
      </c>
      <c r="O57" s="6"/>
      <c r="P57" s="9">
        <f t="shared" si="3"/>
        <v>3600</v>
      </c>
      <c r="Q57" s="9">
        <f t="shared" si="4"/>
        <v>680</v>
      </c>
      <c r="R57" s="10">
        <f t="shared" si="5"/>
        <v>0</v>
      </c>
      <c r="S57" s="11" t="s">
        <v>96</v>
      </c>
    </row>
    <row r="58" spans="1:19" ht="28.5" x14ac:dyDescent="0.45">
      <c r="A58" s="4" t="s">
        <v>164</v>
      </c>
      <c r="B58" s="4" t="s">
        <v>155</v>
      </c>
      <c r="C58" s="4" t="s">
        <v>34</v>
      </c>
      <c r="D58" s="5" t="s">
        <v>94</v>
      </c>
      <c r="E58" s="6">
        <v>28.349999999999959</v>
      </c>
      <c r="F58" s="6">
        <v>2.0499999999999998</v>
      </c>
      <c r="G58" s="7" t="s">
        <v>50</v>
      </c>
      <c r="H58" s="8">
        <v>8</v>
      </c>
      <c r="I58" s="7" t="s">
        <v>95</v>
      </c>
      <c r="J58" s="8">
        <v>55</v>
      </c>
      <c r="K58" s="6">
        <v>4.5</v>
      </c>
      <c r="L58" s="6">
        <v>40</v>
      </c>
      <c r="M58" s="6">
        <v>60</v>
      </c>
      <c r="N58" s="6">
        <v>0</v>
      </c>
      <c r="O58" s="6"/>
      <c r="P58" s="9">
        <f t="shared" si="3"/>
        <v>1550</v>
      </c>
      <c r="Q58" s="9">
        <f t="shared" si="4"/>
        <v>320</v>
      </c>
      <c r="R58" s="10">
        <f t="shared" si="5"/>
        <v>0</v>
      </c>
      <c r="S58" s="11" t="s">
        <v>96</v>
      </c>
    </row>
    <row r="59" spans="1:19" ht="28.5" x14ac:dyDescent="0.45">
      <c r="A59" s="4" t="s">
        <v>165</v>
      </c>
      <c r="B59" s="4" t="s">
        <v>155</v>
      </c>
      <c r="C59" s="4" t="s">
        <v>40</v>
      </c>
      <c r="D59" s="5" t="s">
        <v>127</v>
      </c>
      <c r="E59" s="6">
        <v>76.44</v>
      </c>
      <c r="F59" s="6">
        <v>2.0499999999999998</v>
      </c>
      <c r="G59" s="7" t="s">
        <v>50</v>
      </c>
      <c r="H59" s="8">
        <v>7</v>
      </c>
      <c r="I59" s="7" t="s">
        <v>115</v>
      </c>
      <c r="J59" s="8">
        <v>50</v>
      </c>
      <c r="K59" s="6">
        <v>3.5</v>
      </c>
      <c r="L59" s="6">
        <v>36</v>
      </c>
      <c r="M59" s="6">
        <v>40</v>
      </c>
      <c r="N59" s="6">
        <v>0</v>
      </c>
      <c r="O59" s="6"/>
      <c r="P59" s="9">
        <f t="shared" si="3"/>
        <v>3800</v>
      </c>
      <c r="Q59" s="9">
        <f t="shared" si="4"/>
        <v>270</v>
      </c>
      <c r="R59" s="10">
        <f t="shared" si="5"/>
        <v>0</v>
      </c>
      <c r="S59" s="11" t="s">
        <v>116</v>
      </c>
    </row>
    <row r="60" spans="1:19" ht="28.5" x14ac:dyDescent="0.45">
      <c r="A60" s="4" t="s">
        <v>166</v>
      </c>
      <c r="B60" s="4" t="s">
        <v>155</v>
      </c>
      <c r="C60" s="4" t="s">
        <v>42</v>
      </c>
      <c r="D60" s="5" t="s">
        <v>127</v>
      </c>
      <c r="E60" s="6">
        <v>76.44</v>
      </c>
      <c r="F60" s="6">
        <v>2.0499999999999998</v>
      </c>
      <c r="G60" s="7" t="s">
        <v>50</v>
      </c>
      <c r="H60" s="8">
        <v>7</v>
      </c>
      <c r="I60" s="7" t="s">
        <v>115</v>
      </c>
      <c r="J60" s="8">
        <v>50</v>
      </c>
      <c r="K60" s="6">
        <v>3.5</v>
      </c>
      <c r="L60" s="6">
        <v>36</v>
      </c>
      <c r="M60" s="6">
        <v>40</v>
      </c>
      <c r="N60" s="6">
        <v>0</v>
      </c>
      <c r="O60" s="6"/>
      <c r="P60" s="9">
        <f t="shared" si="3"/>
        <v>3800</v>
      </c>
      <c r="Q60" s="9">
        <f t="shared" si="4"/>
        <v>270</v>
      </c>
      <c r="R60" s="10">
        <f t="shared" si="5"/>
        <v>0</v>
      </c>
      <c r="S60" s="11" t="s">
        <v>116</v>
      </c>
    </row>
    <row r="61" spans="1:19" ht="28.5" x14ac:dyDescent="0.45">
      <c r="A61" s="4" t="s">
        <v>167</v>
      </c>
      <c r="B61" s="4" t="s">
        <v>155</v>
      </c>
      <c r="C61" s="4" t="s">
        <v>48</v>
      </c>
      <c r="D61" s="5" t="s">
        <v>114</v>
      </c>
      <c r="E61" s="6">
        <v>34.079999999999977</v>
      </c>
      <c r="F61" s="6">
        <v>2.0499999999999998</v>
      </c>
      <c r="G61" s="7" t="s">
        <v>50</v>
      </c>
      <c r="H61" s="8">
        <v>2</v>
      </c>
      <c r="I61" s="7" t="s">
        <v>115</v>
      </c>
      <c r="J61" s="8">
        <v>50</v>
      </c>
      <c r="K61" s="6">
        <v>3.5</v>
      </c>
      <c r="L61" s="6">
        <v>36</v>
      </c>
      <c r="M61" s="6">
        <v>40</v>
      </c>
      <c r="N61" s="6">
        <v>0</v>
      </c>
      <c r="O61" s="6"/>
      <c r="P61" s="9">
        <f t="shared" si="3"/>
        <v>1700</v>
      </c>
      <c r="Q61" s="9">
        <f t="shared" si="4"/>
        <v>120</v>
      </c>
      <c r="R61" s="10">
        <f t="shared" si="5"/>
        <v>0</v>
      </c>
      <c r="S61" s="11" t="s">
        <v>116</v>
      </c>
    </row>
    <row r="62" spans="1:19" ht="28.5" x14ac:dyDescent="0.45">
      <c r="A62" s="4" t="s">
        <v>168</v>
      </c>
      <c r="B62" s="4" t="s">
        <v>155</v>
      </c>
      <c r="C62" s="4" t="s">
        <v>53</v>
      </c>
      <c r="D62" s="5" t="s">
        <v>127</v>
      </c>
      <c r="E62" s="6">
        <v>76.44</v>
      </c>
      <c r="F62" s="6">
        <v>2.0499999999999998</v>
      </c>
      <c r="G62" s="7" t="s">
        <v>50</v>
      </c>
      <c r="H62" s="8">
        <v>7</v>
      </c>
      <c r="I62" s="7" t="s">
        <v>115</v>
      </c>
      <c r="J62" s="8">
        <v>50</v>
      </c>
      <c r="K62" s="6">
        <v>3.5</v>
      </c>
      <c r="L62" s="6">
        <v>36</v>
      </c>
      <c r="M62" s="6">
        <v>40</v>
      </c>
      <c r="N62" s="6">
        <v>0</v>
      </c>
      <c r="O62" s="6"/>
      <c r="P62" s="9">
        <f t="shared" si="3"/>
        <v>3800</v>
      </c>
      <c r="Q62" s="9">
        <f t="shared" si="4"/>
        <v>270</v>
      </c>
      <c r="R62" s="10">
        <f t="shared" si="5"/>
        <v>0</v>
      </c>
      <c r="S62" s="11" t="s">
        <v>116</v>
      </c>
    </row>
    <row r="63" spans="1:19" ht="28.5" x14ac:dyDescent="0.45">
      <c r="A63" s="4" t="s">
        <v>169</v>
      </c>
      <c r="B63" s="4" t="s">
        <v>155</v>
      </c>
      <c r="C63" s="4" t="s">
        <v>55</v>
      </c>
      <c r="D63" s="5" t="s">
        <v>109</v>
      </c>
      <c r="E63" s="6">
        <v>99.839999999999961</v>
      </c>
      <c r="F63" s="6">
        <v>2.0499999999999998</v>
      </c>
      <c r="G63" s="7" t="s">
        <v>50</v>
      </c>
      <c r="H63" s="8">
        <v>13</v>
      </c>
      <c r="I63" s="7" t="s">
        <v>110</v>
      </c>
      <c r="J63" s="8">
        <v>50</v>
      </c>
      <c r="K63" s="6">
        <v>4</v>
      </c>
      <c r="L63" s="6">
        <v>36</v>
      </c>
      <c r="M63" s="6">
        <v>60</v>
      </c>
      <c r="N63" s="6">
        <v>0</v>
      </c>
      <c r="O63" s="6"/>
      <c r="P63" s="9">
        <f t="shared" si="3"/>
        <v>5000</v>
      </c>
      <c r="Q63" s="9">
        <f t="shared" si="4"/>
        <v>470</v>
      </c>
      <c r="R63" s="10">
        <f t="shared" si="5"/>
        <v>0</v>
      </c>
      <c r="S63" s="11" t="s">
        <v>111</v>
      </c>
    </row>
    <row r="64" spans="1:19" ht="28.5" x14ac:dyDescent="0.45">
      <c r="A64" s="4" t="s">
        <v>170</v>
      </c>
      <c r="B64" s="4" t="s">
        <v>155</v>
      </c>
      <c r="C64" s="4" t="s">
        <v>57</v>
      </c>
      <c r="D64" s="5" t="s">
        <v>127</v>
      </c>
      <c r="E64" s="6">
        <v>76.44</v>
      </c>
      <c r="F64" s="6">
        <v>2.0499999999999998</v>
      </c>
      <c r="G64" s="7" t="s">
        <v>50</v>
      </c>
      <c r="H64" s="8">
        <v>7</v>
      </c>
      <c r="I64" s="7" t="s">
        <v>115</v>
      </c>
      <c r="J64" s="8">
        <v>50</v>
      </c>
      <c r="K64" s="6">
        <v>3.5</v>
      </c>
      <c r="L64" s="6">
        <v>36</v>
      </c>
      <c r="M64" s="6">
        <v>40</v>
      </c>
      <c r="N64" s="6">
        <v>0</v>
      </c>
      <c r="O64" s="6"/>
      <c r="P64" s="9">
        <f t="shared" si="3"/>
        <v>3800</v>
      </c>
      <c r="Q64" s="9">
        <f t="shared" si="4"/>
        <v>270</v>
      </c>
      <c r="R64" s="10">
        <f t="shared" si="5"/>
        <v>0</v>
      </c>
      <c r="S64" s="11" t="s">
        <v>116</v>
      </c>
    </row>
    <row r="65" spans="1:19" ht="28.5" x14ac:dyDescent="0.45">
      <c r="A65" s="4" t="s">
        <v>171</v>
      </c>
      <c r="B65" s="4" t="s">
        <v>155</v>
      </c>
      <c r="C65" s="4" t="s">
        <v>134</v>
      </c>
      <c r="D65" s="5" t="s">
        <v>94</v>
      </c>
      <c r="E65" s="6">
        <v>27.29999999999993</v>
      </c>
      <c r="F65" s="6">
        <v>2.0499999999999998</v>
      </c>
      <c r="G65" s="7" t="s">
        <v>50</v>
      </c>
      <c r="H65" s="8">
        <v>7</v>
      </c>
      <c r="I65" s="7" t="s">
        <v>95</v>
      </c>
      <c r="J65" s="8">
        <v>55</v>
      </c>
      <c r="K65" s="6">
        <v>4.5</v>
      </c>
      <c r="L65" s="6">
        <v>40</v>
      </c>
      <c r="M65" s="6">
        <v>60</v>
      </c>
      <c r="N65" s="6">
        <v>0</v>
      </c>
      <c r="O65" s="6"/>
      <c r="P65" s="9">
        <f t="shared" si="3"/>
        <v>1500</v>
      </c>
      <c r="Q65" s="9">
        <f t="shared" si="4"/>
        <v>280</v>
      </c>
      <c r="R65" s="10">
        <f t="shared" si="5"/>
        <v>0</v>
      </c>
      <c r="S65" s="11" t="s">
        <v>96</v>
      </c>
    </row>
    <row r="66" spans="1:19" ht="28.5" x14ac:dyDescent="0.45">
      <c r="A66" s="4" t="s">
        <v>172</v>
      </c>
      <c r="B66" s="4" t="s">
        <v>155</v>
      </c>
      <c r="C66" s="4" t="s">
        <v>136</v>
      </c>
      <c r="D66" s="5" t="s">
        <v>69</v>
      </c>
      <c r="E66" s="6">
        <v>121.5</v>
      </c>
      <c r="F66" s="6">
        <v>2.0499999999999998</v>
      </c>
      <c r="G66" s="7" t="s">
        <v>50</v>
      </c>
      <c r="H66" s="8">
        <v>0</v>
      </c>
      <c r="I66" s="7" t="s">
        <v>70</v>
      </c>
      <c r="J66" s="8">
        <v>25</v>
      </c>
      <c r="K66" s="6">
        <v>1.5</v>
      </c>
      <c r="L66" s="6">
        <v>0</v>
      </c>
      <c r="M66" s="6">
        <v>20</v>
      </c>
      <c r="N66" s="6">
        <v>0</v>
      </c>
      <c r="O66" s="6"/>
      <c r="P66" s="9">
        <f t="shared" ref="P66:P97" si="6">IF(OR(I66="SHAFT",I66="LIFT"),0,IF(G66="unbeheizt",0,IF(G66="kalt",ROUND(E66*MIN(J66,10)/50,0)*50,ROUND(E66*J66/50,0)*50)))</f>
        <v>3050</v>
      </c>
      <c r="Q66" s="9">
        <f t="shared" ref="Q66:Q97" si="7">IF(MAX(K66,L66,M66)=0,0,MAX(M66,ROUND(MAX(E66*K66,H66*L66)/5,0)*5))</f>
        <v>180</v>
      </c>
      <c r="R66" s="10">
        <f t="shared" ref="R66:R97" si="8">ROUND(IF(O66&lt;&gt;"",O66,N66),2)</f>
        <v>0</v>
      </c>
      <c r="S66" s="11" t="s">
        <v>71</v>
      </c>
    </row>
    <row r="67" spans="1:19" ht="28.5" x14ac:dyDescent="0.45">
      <c r="A67" s="4" t="s">
        <v>173</v>
      </c>
      <c r="B67" s="4" t="s">
        <v>155</v>
      </c>
      <c r="C67" s="4" t="s">
        <v>138</v>
      </c>
      <c r="D67" s="5" t="s">
        <v>69</v>
      </c>
      <c r="E67" s="6">
        <v>76.500000000000028</v>
      </c>
      <c r="F67" s="6">
        <v>2.0499999999999998</v>
      </c>
      <c r="G67" s="7" t="s">
        <v>50</v>
      </c>
      <c r="H67" s="8">
        <v>0</v>
      </c>
      <c r="I67" s="7" t="s">
        <v>70</v>
      </c>
      <c r="J67" s="8">
        <v>25</v>
      </c>
      <c r="K67" s="6">
        <v>1.5</v>
      </c>
      <c r="L67" s="6">
        <v>0</v>
      </c>
      <c r="M67" s="6">
        <v>20</v>
      </c>
      <c r="N67" s="6">
        <v>0</v>
      </c>
      <c r="O67" s="6"/>
      <c r="P67" s="9">
        <f t="shared" si="6"/>
        <v>1900</v>
      </c>
      <c r="Q67" s="9">
        <f t="shared" si="7"/>
        <v>115</v>
      </c>
      <c r="R67" s="10">
        <f t="shared" si="8"/>
        <v>0</v>
      </c>
      <c r="S67" s="11" t="s">
        <v>71</v>
      </c>
    </row>
    <row r="68" spans="1:19" x14ac:dyDescent="0.45">
      <c r="A68" s="4" t="s">
        <v>174</v>
      </c>
      <c r="B68" s="4" t="s">
        <v>155</v>
      </c>
      <c r="C68" s="4" t="s">
        <v>59</v>
      </c>
      <c r="D68" s="5" t="s">
        <v>60</v>
      </c>
      <c r="E68" s="6">
        <v>21.599999999999959</v>
      </c>
      <c r="F68" s="6">
        <v>2.0499999999999998</v>
      </c>
      <c r="G68" s="7" t="s">
        <v>44</v>
      </c>
      <c r="H68" s="8">
        <v>0</v>
      </c>
      <c r="I68" s="7" t="s">
        <v>61</v>
      </c>
      <c r="J68" s="8">
        <v>0</v>
      </c>
      <c r="K68" s="6">
        <v>0</v>
      </c>
      <c r="L68" s="6">
        <v>0</v>
      </c>
      <c r="M68" s="6">
        <v>0</v>
      </c>
      <c r="N68" s="6">
        <v>0</v>
      </c>
      <c r="O68" s="6"/>
      <c r="P68" s="9">
        <f t="shared" si="6"/>
        <v>0</v>
      </c>
      <c r="Q68" s="9">
        <f t="shared" si="7"/>
        <v>0</v>
      </c>
      <c r="R68" s="10">
        <f t="shared" si="8"/>
        <v>0</v>
      </c>
      <c r="S68" s="11" t="s">
        <v>46</v>
      </c>
    </row>
    <row r="69" spans="1:19" ht="28.5" x14ac:dyDescent="0.45">
      <c r="A69" s="4" t="s">
        <v>175</v>
      </c>
      <c r="B69" s="4" t="s">
        <v>155</v>
      </c>
      <c r="C69" s="4" t="s">
        <v>63</v>
      </c>
      <c r="D69" s="5" t="s">
        <v>64</v>
      </c>
      <c r="E69" s="6">
        <v>157.44000000000011</v>
      </c>
      <c r="F69" s="6">
        <v>2.0499999999999998</v>
      </c>
      <c r="G69" s="7" t="s">
        <v>36</v>
      </c>
      <c r="H69" s="8">
        <v>0</v>
      </c>
      <c r="I69" s="7" t="s">
        <v>65</v>
      </c>
      <c r="J69" s="8">
        <v>15</v>
      </c>
      <c r="K69" s="6">
        <v>1</v>
      </c>
      <c r="L69" s="6">
        <v>0</v>
      </c>
      <c r="M69" s="6">
        <v>15</v>
      </c>
      <c r="N69" s="6">
        <v>0</v>
      </c>
      <c r="O69" s="6"/>
      <c r="P69" s="9">
        <f t="shared" si="6"/>
        <v>1550</v>
      </c>
      <c r="Q69" s="9">
        <f t="shared" si="7"/>
        <v>155</v>
      </c>
      <c r="R69" s="10">
        <f t="shared" si="8"/>
        <v>0</v>
      </c>
      <c r="S69" s="11" t="s">
        <v>66</v>
      </c>
    </row>
    <row r="70" spans="1:19" ht="28.5" x14ac:dyDescent="0.45">
      <c r="A70" s="4" t="s">
        <v>176</v>
      </c>
      <c r="B70" s="4" t="s">
        <v>155</v>
      </c>
      <c r="C70" s="4" t="s">
        <v>68</v>
      </c>
      <c r="D70" s="5" t="s">
        <v>69</v>
      </c>
      <c r="E70" s="6">
        <v>99.84</v>
      </c>
      <c r="F70" s="6">
        <v>2.0499999999999998</v>
      </c>
      <c r="G70" s="7" t="s">
        <v>50</v>
      </c>
      <c r="H70" s="8">
        <v>0</v>
      </c>
      <c r="I70" s="7" t="s">
        <v>70</v>
      </c>
      <c r="J70" s="8">
        <v>25</v>
      </c>
      <c r="K70" s="6">
        <v>1.5</v>
      </c>
      <c r="L70" s="6">
        <v>0</v>
      </c>
      <c r="M70" s="6">
        <v>20</v>
      </c>
      <c r="N70" s="6">
        <v>0</v>
      </c>
      <c r="O70" s="6"/>
      <c r="P70" s="9">
        <f t="shared" si="6"/>
        <v>2500</v>
      </c>
      <c r="Q70" s="9">
        <f t="shared" si="7"/>
        <v>150</v>
      </c>
      <c r="R70" s="10">
        <f t="shared" si="8"/>
        <v>0</v>
      </c>
      <c r="S70" s="11" t="s">
        <v>71</v>
      </c>
    </row>
    <row r="71" spans="1:19" ht="28.5" x14ac:dyDescent="0.45">
      <c r="A71" s="4" t="s">
        <v>177</v>
      </c>
      <c r="B71" s="4" t="s">
        <v>155</v>
      </c>
      <c r="C71" s="4" t="s">
        <v>73</v>
      </c>
      <c r="D71" s="5" t="s">
        <v>69</v>
      </c>
      <c r="E71" s="6">
        <v>11.03999999999999</v>
      </c>
      <c r="F71" s="6">
        <v>2.0499999999999998</v>
      </c>
      <c r="G71" s="7" t="s">
        <v>50</v>
      </c>
      <c r="H71" s="8">
        <v>0</v>
      </c>
      <c r="I71" s="7" t="s">
        <v>70</v>
      </c>
      <c r="J71" s="8">
        <v>25</v>
      </c>
      <c r="K71" s="6">
        <v>1.5</v>
      </c>
      <c r="L71" s="6">
        <v>0</v>
      </c>
      <c r="M71" s="6">
        <v>20</v>
      </c>
      <c r="N71" s="6">
        <v>0</v>
      </c>
      <c r="O71" s="6"/>
      <c r="P71" s="9">
        <f t="shared" si="6"/>
        <v>300</v>
      </c>
      <c r="Q71" s="9">
        <f t="shared" si="7"/>
        <v>20</v>
      </c>
      <c r="R71" s="10">
        <f t="shared" si="8"/>
        <v>0</v>
      </c>
      <c r="S71" s="11" t="s">
        <v>71</v>
      </c>
    </row>
    <row r="72" spans="1:19" ht="28.5" x14ac:dyDescent="0.45">
      <c r="A72" s="4" t="s">
        <v>178</v>
      </c>
      <c r="B72" s="4" t="s">
        <v>155</v>
      </c>
      <c r="C72" s="4" t="s">
        <v>144</v>
      </c>
      <c r="D72" s="5" t="s">
        <v>145</v>
      </c>
      <c r="E72" s="6">
        <v>20.63999999999999</v>
      </c>
      <c r="F72" s="6">
        <v>2.0499999999999998</v>
      </c>
      <c r="G72" s="7" t="s">
        <v>50</v>
      </c>
      <c r="H72" s="8">
        <v>0</v>
      </c>
      <c r="I72" s="7" t="s">
        <v>146</v>
      </c>
      <c r="J72" s="8">
        <v>30</v>
      </c>
      <c r="K72" s="6">
        <v>4</v>
      </c>
      <c r="L72" s="6">
        <v>0</v>
      </c>
      <c r="M72" s="6">
        <v>40</v>
      </c>
      <c r="N72" s="6">
        <v>0.1</v>
      </c>
      <c r="O72" s="6"/>
      <c r="P72" s="9">
        <f t="shared" si="6"/>
        <v>600</v>
      </c>
      <c r="Q72" s="9">
        <f t="shared" si="7"/>
        <v>85</v>
      </c>
      <c r="R72" s="10">
        <f t="shared" si="8"/>
        <v>0.1</v>
      </c>
      <c r="S72" s="11" t="s">
        <v>147</v>
      </c>
    </row>
    <row r="73" spans="1:19" ht="28.5" x14ac:dyDescent="0.45">
      <c r="A73" s="4" t="s">
        <v>179</v>
      </c>
      <c r="B73" s="4" t="s">
        <v>155</v>
      </c>
      <c r="C73" s="4" t="s">
        <v>75</v>
      </c>
      <c r="D73" s="5" t="s">
        <v>76</v>
      </c>
      <c r="E73" s="6">
        <v>11.03999999999999</v>
      </c>
      <c r="F73" s="6">
        <v>2.0499999999999998</v>
      </c>
      <c r="G73" s="7" t="s">
        <v>50</v>
      </c>
      <c r="H73" s="8">
        <v>0</v>
      </c>
      <c r="I73" s="7" t="s">
        <v>77</v>
      </c>
      <c r="J73" s="8">
        <v>35</v>
      </c>
      <c r="K73" s="6">
        <v>8</v>
      </c>
      <c r="L73" s="6">
        <v>0</v>
      </c>
      <c r="M73" s="6">
        <v>60</v>
      </c>
      <c r="N73" s="6">
        <v>0.2</v>
      </c>
      <c r="O73" s="6"/>
      <c r="P73" s="9">
        <f t="shared" si="6"/>
        <v>400</v>
      </c>
      <c r="Q73" s="9">
        <f t="shared" si="7"/>
        <v>90</v>
      </c>
      <c r="R73" s="10">
        <f t="shared" si="8"/>
        <v>0.2</v>
      </c>
      <c r="S73" s="11" t="s">
        <v>78</v>
      </c>
    </row>
    <row r="74" spans="1:19" x14ac:dyDescent="0.45">
      <c r="A74" s="4" t="s">
        <v>180</v>
      </c>
      <c r="B74" s="4" t="s">
        <v>155</v>
      </c>
      <c r="C74" s="4" t="s">
        <v>80</v>
      </c>
      <c r="D74" s="5" t="s">
        <v>81</v>
      </c>
      <c r="E74" s="6">
        <v>5.8499999999999952</v>
      </c>
      <c r="F74" s="6">
        <v>2.0499999999999998</v>
      </c>
      <c r="G74" s="7" t="s">
        <v>44</v>
      </c>
      <c r="H74" s="8">
        <v>0</v>
      </c>
      <c r="I74" s="7" t="s">
        <v>82</v>
      </c>
      <c r="J74" s="8">
        <v>0</v>
      </c>
      <c r="K74" s="6">
        <v>0</v>
      </c>
      <c r="L74" s="6">
        <v>0</v>
      </c>
      <c r="M74" s="6">
        <v>0</v>
      </c>
      <c r="N74" s="6">
        <v>0</v>
      </c>
      <c r="O74" s="6"/>
      <c r="P74" s="9">
        <f t="shared" si="6"/>
        <v>0</v>
      </c>
      <c r="Q74" s="9">
        <f t="shared" si="7"/>
        <v>0</v>
      </c>
      <c r="R74" s="10">
        <f t="shared" si="8"/>
        <v>0</v>
      </c>
      <c r="S74" s="11" t="s">
        <v>46</v>
      </c>
    </row>
    <row r="75" spans="1:19" x14ac:dyDescent="0.45">
      <c r="A75" s="4" t="s">
        <v>181</v>
      </c>
      <c r="B75" s="4" t="s">
        <v>155</v>
      </c>
      <c r="C75" s="4" t="s">
        <v>84</v>
      </c>
      <c r="D75" s="5" t="s">
        <v>81</v>
      </c>
      <c r="E75" s="6">
        <v>13.44</v>
      </c>
      <c r="F75" s="6">
        <v>2.0499999999999998</v>
      </c>
      <c r="G75" s="7" t="s">
        <v>44</v>
      </c>
      <c r="H75" s="8">
        <v>0</v>
      </c>
      <c r="I75" s="7" t="s">
        <v>82</v>
      </c>
      <c r="J75" s="8">
        <v>0</v>
      </c>
      <c r="K75" s="6">
        <v>0</v>
      </c>
      <c r="L75" s="6">
        <v>0</v>
      </c>
      <c r="M75" s="6">
        <v>0</v>
      </c>
      <c r="N75" s="6">
        <v>0</v>
      </c>
      <c r="O75" s="6"/>
      <c r="P75" s="9">
        <f t="shared" si="6"/>
        <v>0</v>
      </c>
      <c r="Q75" s="9">
        <f t="shared" si="7"/>
        <v>0</v>
      </c>
      <c r="R75" s="10">
        <f t="shared" si="8"/>
        <v>0</v>
      </c>
      <c r="S75" s="11" t="s">
        <v>46</v>
      </c>
    </row>
    <row r="76" spans="1:19" x14ac:dyDescent="0.45">
      <c r="A76" s="4" t="s">
        <v>182</v>
      </c>
      <c r="B76" s="4" t="s">
        <v>155</v>
      </c>
      <c r="C76" s="4" t="s">
        <v>86</v>
      </c>
      <c r="D76" s="5" t="s">
        <v>81</v>
      </c>
      <c r="E76" s="6">
        <v>1.4400000000000031</v>
      </c>
      <c r="F76" s="6">
        <v>2.0499999999999998</v>
      </c>
      <c r="G76" s="7" t="s">
        <v>44</v>
      </c>
      <c r="H76" s="8">
        <v>0</v>
      </c>
      <c r="I76" s="7" t="s">
        <v>82</v>
      </c>
      <c r="J76" s="8">
        <v>0</v>
      </c>
      <c r="K76" s="6">
        <v>0</v>
      </c>
      <c r="L76" s="6">
        <v>0</v>
      </c>
      <c r="M76" s="6">
        <v>0</v>
      </c>
      <c r="N76" s="6">
        <v>0</v>
      </c>
      <c r="O76" s="6"/>
      <c r="P76" s="9">
        <f t="shared" si="6"/>
        <v>0</v>
      </c>
      <c r="Q76" s="9">
        <f t="shared" si="7"/>
        <v>0</v>
      </c>
      <c r="R76" s="10">
        <f t="shared" si="8"/>
        <v>0</v>
      </c>
      <c r="S76" s="11" t="s">
        <v>46</v>
      </c>
    </row>
    <row r="77" spans="1:19" x14ac:dyDescent="0.45">
      <c r="A77" s="4" t="s">
        <v>183</v>
      </c>
      <c r="B77" s="4" t="s">
        <v>155</v>
      </c>
      <c r="C77" s="4" t="s">
        <v>88</v>
      </c>
      <c r="D77" s="5" t="s">
        <v>81</v>
      </c>
      <c r="E77" s="6">
        <v>2.399999999999999</v>
      </c>
      <c r="F77" s="6">
        <v>2.0499999999999998</v>
      </c>
      <c r="G77" s="7" t="s">
        <v>44</v>
      </c>
      <c r="H77" s="8">
        <v>0</v>
      </c>
      <c r="I77" s="7" t="s">
        <v>82</v>
      </c>
      <c r="J77" s="8">
        <v>0</v>
      </c>
      <c r="K77" s="6">
        <v>0</v>
      </c>
      <c r="L77" s="6">
        <v>0</v>
      </c>
      <c r="M77" s="6">
        <v>0</v>
      </c>
      <c r="N77" s="6">
        <v>0</v>
      </c>
      <c r="O77" s="6"/>
      <c r="P77" s="9">
        <f t="shared" si="6"/>
        <v>0</v>
      </c>
      <c r="Q77" s="9">
        <f t="shared" si="7"/>
        <v>0</v>
      </c>
      <c r="R77" s="10">
        <f t="shared" si="8"/>
        <v>0</v>
      </c>
      <c r="S77" s="11" t="s">
        <v>46</v>
      </c>
    </row>
    <row r="78" spans="1:19" x14ac:dyDescent="0.45">
      <c r="A78" s="4" t="s">
        <v>184</v>
      </c>
      <c r="B78" s="4" t="s">
        <v>155</v>
      </c>
      <c r="C78" s="4" t="s">
        <v>90</v>
      </c>
      <c r="D78" s="5" t="s">
        <v>81</v>
      </c>
      <c r="E78" s="6">
        <v>6.2400000000000233</v>
      </c>
      <c r="F78" s="6">
        <v>2.0499999999999998</v>
      </c>
      <c r="G78" s="7" t="s">
        <v>44</v>
      </c>
      <c r="H78" s="8">
        <v>0</v>
      </c>
      <c r="I78" s="7" t="s">
        <v>82</v>
      </c>
      <c r="J78" s="8">
        <v>0</v>
      </c>
      <c r="K78" s="6">
        <v>0</v>
      </c>
      <c r="L78" s="6">
        <v>0</v>
      </c>
      <c r="M78" s="6">
        <v>0</v>
      </c>
      <c r="N78" s="6">
        <v>0</v>
      </c>
      <c r="O78" s="6"/>
      <c r="P78" s="9">
        <f t="shared" si="6"/>
        <v>0</v>
      </c>
      <c r="Q78" s="9">
        <f t="shared" si="7"/>
        <v>0</v>
      </c>
      <c r="R78" s="10">
        <f t="shared" si="8"/>
        <v>0</v>
      </c>
      <c r="S78" s="11" t="s">
        <v>46</v>
      </c>
    </row>
    <row r="79" spans="1:19" ht="28.5" x14ac:dyDescent="0.45">
      <c r="A79" s="4" t="s">
        <v>185</v>
      </c>
      <c r="B79" s="4" t="s">
        <v>186</v>
      </c>
      <c r="C79" s="4" t="s">
        <v>93</v>
      </c>
      <c r="D79" s="5" t="s">
        <v>94</v>
      </c>
      <c r="E79" s="6">
        <v>65.250000000000213</v>
      </c>
      <c r="F79" s="6">
        <v>2.0500000000000012</v>
      </c>
      <c r="G79" s="7" t="s">
        <v>50</v>
      </c>
      <c r="H79" s="8">
        <v>17</v>
      </c>
      <c r="I79" s="7" t="s">
        <v>95</v>
      </c>
      <c r="J79" s="8">
        <v>55</v>
      </c>
      <c r="K79" s="6">
        <v>4.5</v>
      </c>
      <c r="L79" s="6">
        <v>40</v>
      </c>
      <c r="M79" s="6">
        <v>60</v>
      </c>
      <c r="N79" s="6">
        <v>0</v>
      </c>
      <c r="O79" s="6"/>
      <c r="P79" s="9">
        <f t="shared" si="6"/>
        <v>3600</v>
      </c>
      <c r="Q79" s="9">
        <f t="shared" si="7"/>
        <v>680</v>
      </c>
      <c r="R79" s="10">
        <f t="shared" si="8"/>
        <v>0</v>
      </c>
      <c r="S79" s="11" t="s">
        <v>96</v>
      </c>
    </row>
    <row r="80" spans="1:19" ht="28.5" x14ac:dyDescent="0.45">
      <c r="A80" s="4" t="s">
        <v>187</v>
      </c>
      <c r="B80" s="4" t="s">
        <v>186</v>
      </c>
      <c r="C80" s="4" t="s">
        <v>98</v>
      </c>
      <c r="D80" s="5" t="s">
        <v>99</v>
      </c>
      <c r="E80" s="6">
        <v>57.600000000000577</v>
      </c>
      <c r="F80" s="6">
        <v>2.0500000000000012</v>
      </c>
      <c r="G80" s="7" t="s">
        <v>50</v>
      </c>
      <c r="H80" s="8">
        <v>6</v>
      </c>
      <c r="I80" s="7" t="s">
        <v>100</v>
      </c>
      <c r="J80" s="8">
        <v>60</v>
      </c>
      <c r="K80" s="6">
        <v>6.5</v>
      </c>
      <c r="L80" s="6">
        <v>20</v>
      </c>
      <c r="M80" s="6">
        <v>150</v>
      </c>
      <c r="N80" s="6">
        <v>0.12</v>
      </c>
      <c r="O80" s="6"/>
      <c r="P80" s="9">
        <f t="shared" si="6"/>
        <v>3450</v>
      </c>
      <c r="Q80" s="9">
        <f t="shared" si="7"/>
        <v>375</v>
      </c>
      <c r="R80" s="10">
        <f t="shared" si="8"/>
        <v>0.12</v>
      </c>
      <c r="S80" s="11" t="s">
        <v>101</v>
      </c>
    </row>
    <row r="81" spans="1:19" ht="28.5" x14ac:dyDescent="0.45">
      <c r="A81" s="4" t="s">
        <v>188</v>
      </c>
      <c r="B81" s="4" t="s">
        <v>186</v>
      </c>
      <c r="C81" s="4" t="s">
        <v>103</v>
      </c>
      <c r="D81" s="5" t="s">
        <v>104</v>
      </c>
      <c r="E81" s="6">
        <v>44.100000000000549</v>
      </c>
      <c r="F81" s="6">
        <v>2.0500000000000012</v>
      </c>
      <c r="G81" s="7" t="s">
        <v>50</v>
      </c>
      <c r="H81" s="8">
        <v>4</v>
      </c>
      <c r="I81" s="7" t="s">
        <v>105</v>
      </c>
      <c r="J81" s="8">
        <v>65</v>
      </c>
      <c r="K81" s="6">
        <v>6</v>
      </c>
      <c r="L81" s="6">
        <v>50</v>
      </c>
      <c r="M81" s="6">
        <v>120</v>
      </c>
      <c r="N81" s="6">
        <v>0.05</v>
      </c>
      <c r="O81" s="6"/>
      <c r="P81" s="9">
        <f t="shared" si="6"/>
        <v>2850</v>
      </c>
      <c r="Q81" s="9">
        <f t="shared" si="7"/>
        <v>265</v>
      </c>
      <c r="R81" s="10">
        <f t="shared" si="8"/>
        <v>0.05</v>
      </c>
      <c r="S81" s="11" t="s">
        <v>106</v>
      </c>
    </row>
    <row r="82" spans="1:19" ht="28.5" x14ac:dyDescent="0.45">
      <c r="A82" s="4" t="s">
        <v>189</v>
      </c>
      <c r="B82" s="4" t="s">
        <v>186</v>
      </c>
      <c r="C82" s="4" t="s">
        <v>108</v>
      </c>
      <c r="D82" s="5" t="s">
        <v>109</v>
      </c>
      <c r="E82" s="6">
        <v>83.25000000000108</v>
      </c>
      <c r="F82" s="6">
        <v>2.0500000000000012</v>
      </c>
      <c r="G82" s="7" t="s">
        <v>50</v>
      </c>
      <c r="H82" s="8">
        <v>11</v>
      </c>
      <c r="I82" s="7" t="s">
        <v>110</v>
      </c>
      <c r="J82" s="8">
        <v>50</v>
      </c>
      <c r="K82" s="6">
        <v>4</v>
      </c>
      <c r="L82" s="6">
        <v>36</v>
      </c>
      <c r="M82" s="6">
        <v>60</v>
      </c>
      <c r="N82" s="6">
        <v>0</v>
      </c>
      <c r="O82" s="6"/>
      <c r="P82" s="9">
        <f t="shared" si="6"/>
        <v>4150</v>
      </c>
      <c r="Q82" s="9">
        <f t="shared" si="7"/>
        <v>395</v>
      </c>
      <c r="R82" s="10">
        <f t="shared" si="8"/>
        <v>0</v>
      </c>
      <c r="S82" s="11" t="s">
        <v>111</v>
      </c>
    </row>
    <row r="83" spans="1:19" ht="28.5" x14ac:dyDescent="0.45">
      <c r="A83" s="4" t="s">
        <v>190</v>
      </c>
      <c r="B83" s="4" t="s">
        <v>186</v>
      </c>
      <c r="C83" s="4" t="s">
        <v>113</v>
      </c>
      <c r="D83" s="5" t="s">
        <v>114</v>
      </c>
      <c r="E83" s="6">
        <v>35.100000000000357</v>
      </c>
      <c r="F83" s="6">
        <v>2.0500000000000012</v>
      </c>
      <c r="G83" s="7" t="s">
        <v>50</v>
      </c>
      <c r="H83" s="8">
        <v>2</v>
      </c>
      <c r="I83" s="7" t="s">
        <v>115</v>
      </c>
      <c r="J83" s="8">
        <v>50</v>
      </c>
      <c r="K83" s="6">
        <v>3.5</v>
      </c>
      <c r="L83" s="6">
        <v>36</v>
      </c>
      <c r="M83" s="6">
        <v>40</v>
      </c>
      <c r="N83" s="6">
        <v>0</v>
      </c>
      <c r="O83" s="6"/>
      <c r="P83" s="9">
        <f t="shared" si="6"/>
        <v>1750</v>
      </c>
      <c r="Q83" s="9">
        <f t="shared" si="7"/>
        <v>125</v>
      </c>
      <c r="R83" s="10">
        <f t="shared" si="8"/>
        <v>0</v>
      </c>
      <c r="S83" s="11" t="s">
        <v>116</v>
      </c>
    </row>
    <row r="84" spans="1:19" ht="28.5" x14ac:dyDescent="0.45">
      <c r="A84" s="4" t="s">
        <v>191</v>
      </c>
      <c r="B84" s="4" t="s">
        <v>186</v>
      </c>
      <c r="C84" s="4" t="s">
        <v>118</v>
      </c>
      <c r="D84" s="5" t="s">
        <v>109</v>
      </c>
      <c r="E84" s="6">
        <v>96.750000000001734</v>
      </c>
      <c r="F84" s="6">
        <v>2.0500000000000012</v>
      </c>
      <c r="G84" s="7" t="s">
        <v>50</v>
      </c>
      <c r="H84" s="8">
        <v>13</v>
      </c>
      <c r="I84" s="7" t="s">
        <v>110</v>
      </c>
      <c r="J84" s="8">
        <v>50</v>
      </c>
      <c r="K84" s="6">
        <v>4</v>
      </c>
      <c r="L84" s="6">
        <v>36</v>
      </c>
      <c r="M84" s="6">
        <v>60</v>
      </c>
      <c r="N84" s="6">
        <v>0</v>
      </c>
      <c r="O84" s="6"/>
      <c r="P84" s="9">
        <f t="shared" si="6"/>
        <v>4850</v>
      </c>
      <c r="Q84" s="9">
        <f t="shared" si="7"/>
        <v>470</v>
      </c>
      <c r="R84" s="10">
        <f t="shared" si="8"/>
        <v>0</v>
      </c>
      <c r="S84" s="11" t="s">
        <v>111</v>
      </c>
    </row>
    <row r="85" spans="1:19" ht="28.5" x14ac:dyDescent="0.45">
      <c r="A85" s="4" t="s">
        <v>192</v>
      </c>
      <c r="B85" s="4" t="s">
        <v>186</v>
      </c>
      <c r="C85" s="4" t="s">
        <v>120</v>
      </c>
      <c r="D85" s="5" t="s">
        <v>114</v>
      </c>
      <c r="E85" s="6">
        <v>44.099999999999987</v>
      </c>
      <c r="F85" s="6">
        <v>2.0500000000000012</v>
      </c>
      <c r="G85" s="7" t="s">
        <v>50</v>
      </c>
      <c r="H85" s="8">
        <v>3</v>
      </c>
      <c r="I85" s="7" t="s">
        <v>115</v>
      </c>
      <c r="J85" s="8">
        <v>50</v>
      </c>
      <c r="K85" s="6">
        <v>3.5</v>
      </c>
      <c r="L85" s="6">
        <v>36</v>
      </c>
      <c r="M85" s="6">
        <v>40</v>
      </c>
      <c r="N85" s="6">
        <v>0</v>
      </c>
      <c r="O85" s="6"/>
      <c r="P85" s="9">
        <f t="shared" si="6"/>
        <v>2200</v>
      </c>
      <c r="Q85" s="9">
        <f t="shared" si="7"/>
        <v>155</v>
      </c>
      <c r="R85" s="10">
        <f t="shared" si="8"/>
        <v>0</v>
      </c>
      <c r="S85" s="11" t="s">
        <v>116</v>
      </c>
    </row>
    <row r="86" spans="1:19" ht="28.5" x14ac:dyDescent="0.45">
      <c r="A86" s="4" t="s">
        <v>193</v>
      </c>
      <c r="B86" s="4" t="s">
        <v>186</v>
      </c>
      <c r="C86" s="4" t="s">
        <v>122</v>
      </c>
      <c r="D86" s="5" t="s">
        <v>109</v>
      </c>
      <c r="E86" s="6">
        <v>57.600000000000009</v>
      </c>
      <c r="F86" s="6">
        <v>2.0500000000000012</v>
      </c>
      <c r="G86" s="7" t="s">
        <v>50</v>
      </c>
      <c r="H86" s="8">
        <v>8</v>
      </c>
      <c r="I86" s="7" t="s">
        <v>110</v>
      </c>
      <c r="J86" s="8">
        <v>50</v>
      </c>
      <c r="K86" s="6">
        <v>4</v>
      </c>
      <c r="L86" s="6">
        <v>36</v>
      </c>
      <c r="M86" s="6">
        <v>60</v>
      </c>
      <c r="N86" s="6">
        <v>0</v>
      </c>
      <c r="O86" s="6"/>
      <c r="P86" s="9">
        <f t="shared" si="6"/>
        <v>2900</v>
      </c>
      <c r="Q86" s="9">
        <f t="shared" si="7"/>
        <v>290</v>
      </c>
      <c r="R86" s="10">
        <f t="shared" si="8"/>
        <v>0</v>
      </c>
      <c r="S86" s="11" t="s">
        <v>111</v>
      </c>
    </row>
    <row r="87" spans="1:19" ht="28.5" x14ac:dyDescent="0.45">
      <c r="A87" s="4" t="s">
        <v>194</v>
      </c>
      <c r="B87" s="4" t="s">
        <v>186</v>
      </c>
      <c r="C87" s="4" t="s">
        <v>124</v>
      </c>
      <c r="D87" s="5" t="s">
        <v>94</v>
      </c>
      <c r="E87" s="6">
        <v>65.25</v>
      </c>
      <c r="F87" s="6">
        <v>2.0500000000000012</v>
      </c>
      <c r="G87" s="7" t="s">
        <v>50</v>
      </c>
      <c r="H87" s="8">
        <v>17</v>
      </c>
      <c r="I87" s="7" t="s">
        <v>95</v>
      </c>
      <c r="J87" s="8">
        <v>55</v>
      </c>
      <c r="K87" s="6">
        <v>4.5</v>
      </c>
      <c r="L87" s="6">
        <v>40</v>
      </c>
      <c r="M87" s="6">
        <v>60</v>
      </c>
      <c r="N87" s="6">
        <v>0</v>
      </c>
      <c r="O87" s="6"/>
      <c r="P87" s="9">
        <f t="shared" si="6"/>
        <v>3600</v>
      </c>
      <c r="Q87" s="9">
        <f t="shared" si="7"/>
        <v>680</v>
      </c>
      <c r="R87" s="10">
        <f t="shared" si="8"/>
        <v>0</v>
      </c>
      <c r="S87" s="11" t="s">
        <v>96</v>
      </c>
    </row>
    <row r="88" spans="1:19" ht="28.5" x14ac:dyDescent="0.45">
      <c r="A88" s="4" t="s">
        <v>195</v>
      </c>
      <c r="B88" s="4" t="s">
        <v>186</v>
      </c>
      <c r="C88" s="4" t="s">
        <v>34</v>
      </c>
      <c r="D88" s="5" t="s">
        <v>94</v>
      </c>
      <c r="E88" s="6">
        <v>28.349999999999959</v>
      </c>
      <c r="F88" s="6">
        <v>2.0500000000000012</v>
      </c>
      <c r="G88" s="7" t="s">
        <v>50</v>
      </c>
      <c r="H88" s="8">
        <v>8</v>
      </c>
      <c r="I88" s="7" t="s">
        <v>95</v>
      </c>
      <c r="J88" s="8">
        <v>55</v>
      </c>
      <c r="K88" s="6">
        <v>4.5</v>
      </c>
      <c r="L88" s="6">
        <v>40</v>
      </c>
      <c r="M88" s="6">
        <v>60</v>
      </c>
      <c r="N88" s="6">
        <v>0</v>
      </c>
      <c r="O88" s="6"/>
      <c r="P88" s="9">
        <f t="shared" si="6"/>
        <v>1550</v>
      </c>
      <c r="Q88" s="9">
        <f t="shared" si="7"/>
        <v>320</v>
      </c>
      <c r="R88" s="10">
        <f t="shared" si="8"/>
        <v>0</v>
      </c>
      <c r="S88" s="11" t="s">
        <v>96</v>
      </c>
    </row>
    <row r="89" spans="1:19" ht="28.5" x14ac:dyDescent="0.45">
      <c r="A89" s="4" t="s">
        <v>196</v>
      </c>
      <c r="B89" s="4" t="s">
        <v>186</v>
      </c>
      <c r="C89" s="4" t="s">
        <v>40</v>
      </c>
      <c r="D89" s="5" t="s">
        <v>127</v>
      </c>
      <c r="E89" s="6">
        <v>76.44</v>
      </c>
      <c r="F89" s="6">
        <v>2.0500000000000012</v>
      </c>
      <c r="G89" s="7" t="s">
        <v>50</v>
      </c>
      <c r="H89" s="8">
        <v>7</v>
      </c>
      <c r="I89" s="7" t="s">
        <v>115</v>
      </c>
      <c r="J89" s="8">
        <v>50</v>
      </c>
      <c r="K89" s="6">
        <v>3.5</v>
      </c>
      <c r="L89" s="6">
        <v>36</v>
      </c>
      <c r="M89" s="6">
        <v>40</v>
      </c>
      <c r="N89" s="6">
        <v>0</v>
      </c>
      <c r="O89" s="6"/>
      <c r="P89" s="9">
        <f t="shared" si="6"/>
        <v>3800</v>
      </c>
      <c r="Q89" s="9">
        <f t="shared" si="7"/>
        <v>270</v>
      </c>
      <c r="R89" s="10">
        <f t="shared" si="8"/>
        <v>0</v>
      </c>
      <c r="S89" s="11" t="s">
        <v>116</v>
      </c>
    </row>
    <row r="90" spans="1:19" ht="28.5" x14ac:dyDescent="0.45">
      <c r="A90" s="4" t="s">
        <v>197</v>
      </c>
      <c r="B90" s="4" t="s">
        <v>186</v>
      </c>
      <c r="C90" s="4" t="s">
        <v>42</v>
      </c>
      <c r="D90" s="5" t="s">
        <v>127</v>
      </c>
      <c r="E90" s="6">
        <v>76.44</v>
      </c>
      <c r="F90" s="6">
        <v>2.0500000000000012</v>
      </c>
      <c r="G90" s="7" t="s">
        <v>50</v>
      </c>
      <c r="H90" s="8">
        <v>7</v>
      </c>
      <c r="I90" s="7" t="s">
        <v>115</v>
      </c>
      <c r="J90" s="8">
        <v>50</v>
      </c>
      <c r="K90" s="6">
        <v>3.5</v>
      </c>
      <c r="L90" s="6">
        <v>36</v>
      </c>
      <c r="M90" s="6">
        <v>40</v>
      </c>
      <c r="N90" s="6">
        <v>0</v>
      </c>
      <c r="O90" s="6"/>
      <c r="P90" s="9">
        <f t="shared" si="6"/>
        <v>3800</v>
      </c>
      <c r="Q90" s="9">
        <f t="shared" si="7"/>
        <v>270</v>
      </c>
      <c r="R90" s="10">
        <f t="shared" si="8"/>
        <v>0</v>
      </c>
      <c r="S90" s="11" t="s">
        <v>116</v>
      </c>
    </row>
    <row r="91" spans="1:19" ht="28.5" x14ac:dyDescent="0.45">
      <c r="A91" s="4" t="s">
        <v>198</v>
      </c>
      <c r="B91" s="4" t="s">
        <v>186</v>
      </c>
      <c r="C91" s="4" t="s">
        <v>48</v>
      </c>
      <c r="D91" s="5" t="s">
        <v>114</v>
      </c>
      <c r="E91" s="6">
        <v>34.079999999999977</v>
      </c>
      <c r="F91" s="6">
        <v>2.0500000000000012</v>
      </c>
      <c r="G91" s="7" t="s">
        <v>50</v>
      </c>
      <c r="H91" s="8">
        <v>2</v>
      </c>
      <c r="I91" s="7" t="s">
        <v>115</v>
      </c>
      <c r="J91" s="8">
        <v>50</v>
      </c>
      <c r="K91" s="6">
        <v>3.5</v>
      </c>
      <c r="L91" s="6">
        <v>36</v>
      </c>
      <c r="M91" s="6">
        <v>40</v>
      </c>
      <c r="N91" s="6">
        <v>0</v>
      </c>
      <c r="O91" s="6"/>
      <c r="P91" s="9">
        <f t="shared" si="6"/>
        <v>1700</v>
      </c>
      <c r="Q91" s="9">
        <f t="shared" si="7"/>
        <v>120</v>
      </c>
      <c r="R91" s="10">
        <f t="shared" si="8"/>
        <v>0</v>
      </c>
      <c r="S91" s="11" t="s">
        <v>116</v>
      </c>
    </row>
    <row r="92" spans="1:19" ht="28.5" x14ac:dyDescent="0.45">
      <c r="A92" s="4" t="s">
        <v>199</v>
      </c>
      <c r="B92" s="4" t="s">
        <v>186</v>
      </c>
      <c r="C92" s="4" t="s">
        <v>53</v>
      </c>
      <c r="D92" s="5" t="s">
        <v>127</v>
      </c>
      <c r="E92" s="6">
        <v>76.44</v>
      </c>
      <c r="F92" s="6">
        <v>2.0500000000000012</v>
      </c>
      <c r="G92" s="7" t="s">
        <v>50</v>
      </c>
      <c r="H92" s="8">
        <v>7</v>
      </c>
      <c r="I92" s="7" t="s">
        <v>115</v>
      </c>
      <c r="J92" s="8">
        <v>50</v>
      </c>
      <c r="K92" s="6">
        <v>3.5</v>
      </c>
      <c r="L92" s="6">
        <v>36</v>
      </c>
      <c r="M92" s="6">
        <v>40</v>
      </c>
      <c r="N92" s="6">
        <v>0</v>
      </c>
      <c r="O92" s="6"/>
      <c r="P92" s="9">
        <f t="shared" si="6"/>
        <v>3800</v>
      </c>
      <c r="Q92" s="9">
        <f t="shared" si="7"/>
        <v>270</v>
      </c>
      <c r="R92" s="10">
        <f t="shared" si="8"/>
        <v>0</v>
      </c>
      <c r="S92" s="11" t="s">
        <v>116</v>
      </c>
    </row>
    <row r="93" spans="1:19" ht="28.5" x14ac:dyDescent="0.45">
      <c r="A93" s="4" t="s">
        <v>200</v>
      </c>
      <c r="B93" s="4" t="s">
        <v>186</v>
      </c>
      <c r="C93" s="4" t="s">
        <v>55</v>
      </c>
      <c r="D93" s="5" t="s">
        <v>109</v>
      </c>
      <c r="E93" s="6">
        <v>99.839999999999961</v>
      </c>
      <c r="F93" s="6">
        <v>2.0500000000000012</v>
      </c>
      <c r="G93" s="7" t="s">
        <v>50</v>
      </c>
      <c r="H93" s="8">
        <v>13</v>
      </c>
      <c r="I93" s="7" t="s">
        <v>110</v>
      </c>
      <c r="J93" s="8">
        <v>50</v>
      </c>
      <c r="K93" s="6">
        <v>4</v>
      </c>
      <c r="L93" s="6">
        <v>36</v>
      </c>
      <c r="M93" s="6">
        <v>60</v>
      </c>
      <c r="N93" s="6">
        <v>0</v>
      </c>
      <c r="O93" s="6"/>
      <c r="P93" s="9">
        <f t="shared" si="6"/>
        <v>5000</v>
      </c>
      <c r="Q93" s="9">
        <f t="shared" si="7"/>
        <v>470</v>
      </c>
      <c r="R93" s="10">
        <f t="shared" si="8"/>
        <v>0</v>
      </c>
      <c r="S93" s="11" t="s">
        <v>111</v>
      </c>
    </row>
    <row r="94" spans="1:19" ht="28.5" x14ac:dyDescent="0.45">
      <c r="A94" s="4" t="s">
        <v>201</v>
      </c>
      <c r="B94" s="4" t="s">
        <v>186</v>
      </c>
      <c r="C94" s="4" t="s">
        <v>57</v>
      </c>
      <c r="D94" s="5" t="s">
        <v>127</v>
      </c>
      <c r="E94" s="6">
        <v>76.44</v>
      </c>
      <c r="F94" s="6">
        <v>2.0500000000000012</v>
      </c>
      <c r="G94" s="7" t="s">
        <v>50</v>
      </c>
      <c r="H94" s="8">
        <v>7</v>
      </c>
      <c r="I94" s="7" t="s">
        <v>115</v>
      </c>
      <c r="J94" s="8">
        <v>50</v>
      </c>
      <c r="K94" s="6">
        <v>3.5</v>
      </c>
      <c r="L94" s="6">
        <v>36</v>
      </c>
      <c r="M94" s="6">
        <v>40</v>
      </c>
      <c r="N94" s="6">
        <v>0</v>
      </c>
      <c r="O94" s="6"/>
      <c r="P94" s="9">
        <f t="shared" si="6"/>
        <v>3800</v>
      </c>
      <c r="Q94" s="9">
        <f t="shared" si="7"/>
        <v>270</v>
      </c>
      <c r="R94" s="10">
        <f t="shared" si="8"/>
        <v>0</v>
      </c>
      <c r="S94" s="11" t="s">
        <v>116</v>
      </c>
    </row>
    <row r="95" spans="1:19" ht="28.5" x14ac:dyDescent="0.45">
      <c r="A95" s="4" t="s">
        <v>202</v>
      </c>
      <c r="B95" s="4" t="s">
        <v>186</v>
      </c>
      <c r="C95" s="4" t="s">
        <v>134</v>
      </c>
      <c r="D95" s="5" t="s">
        <v>94</v>
      </c>
      <c r="E95" s="6">
        <v>27.29999999999993</v>
      </c>
      <c r="F95" s="6">
        <v>2.0500000000000012</v>
      </c>
      <c r="G95" s="7" t="s">
        <v>50</v>
      </c>
      <c r="H95" s="8">
        <v>7</v>
      </c>
      <c r="I95" s="7" t="s">
        <v>95</v>
      </c>
      <c r="J95" s="8">
        <v>55</v>
      </c>
      <c r="K95" s="6">
        <v>4.5</v>
      </c>
      <c r="L95" s="6">
        <v>40</v>
      </c>
      <c r="M95" s="6">
        <v>60</v>
      </c>
      <c r="N95" s="6">
        <v>0</v>
      </c>
      <c r="O95" s="6"/>
      <c r="P95" s="9">
        <f t="shared" si="6"/>
        <v>1500</v>
      </c>
      <c r="Q95" s="9">
        <f t="shared" si="7"/>
        <v>280</v>
      </c>
      <c r="R95" s="10">
        <f t="shared" si="8"/>
        <v>0</v>
      </c>
      <c r="S95" s="11" t="s">
        <v>96</v>
      </c>
    </row>
    <row r="96" spans="1:19" ht="28.5" x14ac:dyDescent="0.45">
      <c r="A96" s="4" t="s">
        <v>203</v>
      </c>
      <c r="B96" s="4" t="s">
        <v>186</v>
      </c>
      <c r="C96" s="4" t="s">
        <v>136</v>
      </c>
      <c r="D96" s="5" t="s">
        <v>69</v>
      </c>
      <c r="E96" s="6">
        <v>121.5</v>
      </c>
      <c r="F96" s="6">
        <v>2.0500000000000012</v>
      </c>
      <c r="G96" s="7" t="s">
        <v>50</v>
      </c>
      <c r="H96" s="8">
        <v>0</v>
      </c>
      <c r="I96" s="7" t="s">
        <v>70</v>
      </c>
      <c r="J96" s="8">
        <v>25</v>
      </c>
      <c r="K96" s="6">
        <v>1.5</v>
      </c>
      <c r="L96" s="6">
        <v>0</v>
      </c>
      <c r="M96" s="6">
        <v>20</v>
      </c>
      <c r="N96" s="6">
        <v>0</v>
      </c>
      <c r="O96" s="6"/>
      <c r="P96" s="9">
        <f t="shared" si="6"/>
        <v>3050</v>
      </c>
      <c r="Q96" s="9">
        <f t="shared" si="7"/>
        <v>180</v>
      </c>
      <c r="R96" s="10">
        <f t="shared" si="8"/>
        <v>0</v>
      </c>
      <c r="S96" s="11" t="s">
        <v>71</v>
      </c>
    </row>
    <row r="97" spans="1:19" ht="28.5" x14ac:dyDescent="0.45">
      <c r="A97" s="4" t="s">
        <v>204</v>
      </c>
      <c r="B97" s="4" t="s">
        <v>186</v>
      </c>
      <c r="C97" s="4" t="s">
        <v>138</v>
      </c>
      <c r="D97" s="5" t="s">
        <v>69</v>
      </c>
      <c r="E97" s="6">
        <v>76.500000000000028</v>
      </c>
      <c r="F97" s="6">
        <v>2.0500000000000012</v>
      </c>
      <c r="G97" s="7" t="s">
        <v>50</v>
      </c>
      <c r="H97" s="8">
        <v>0</v>
      </c>
      <c r="I97" s="7" t="s">
        <v>70</v>
      </c>
      <c r="J97" s="8">
        <v>25</v>
      </c>
      <c r="K97" s="6">
        <v>1.5</v>
      </c>
      <c r="L97" s="6">
        <v>0</v>
      </c>
      <c r="M97" s="6">
        <v>20</v>
      </c>
      <c r="N97" s="6">
        <v>0</v>
      </c>
      <c r="O97" s="6"/>
      <c r="P97" s="9">
        <f t="shared" si="6"/>
        <v>1900</v>
      </c>
      <c r="Q97" s="9">
        <f t="shared" si="7"/>
        <v>115</v>
      </c>
      <c r="R97" s="10">
        <f t="shared" si="8"/>
        <v>0</v>
      </c>
      <c r="S97" s="11" t="s">
        <v>71</v>
      </c>
    </row>
    <row r="98" spans="1:19" x14ac:dyDescent="0.45">
      <c r="A98" s="4" t="s">
        <v>205</v>
      </c>
      <c r="B98" s="4" t="s">
        <v>186</v>
      </c>
      <c r="C98" s="4" t="s">
        <v>59</v>
      </c>
      <c r="D98" s="5" t="s">
        <v>60</v>
      </c>
      <c r="E98" s="6">
        <v>21.599999999999959</v>
      </c>
      <c r="F98" s="6">
        <v>2.0500000000000012</v>
      </c>
      <c r="G98" s="7" t="s">
        <v>44</v>
      </c>
      <c r="H98" s="8">
        <v>0</v>
      </c>
      <c r="I98" s="7" t="s">
        <v>61</v>
      </c>
      <c r="J98" s="8">
        <v>0</v>
      </c>
      <c r="K98" s="6">
        <v>0</v>
      </c>
      <c r="L98" s="6">
        <v>0</v>
      </c>
      <c r="M98" s="6">
        <v>0</v>
      </c>
      <c r="N98" s="6">
        <v>0</v>
      </c>
      <c r="O98" s="6"/>
      <c r="P98" s="9">
        <f t="shared" ref="P98:P108" si="9">IF(OR(I98="SHAFT",I98="LIFT"),0,IF(G98="unbeheizt",0,IF(G98="kalt",ROUND(E98*MIN(J98,10)/50,0)*50,ROUND(E98*J98/50,0)*50)))</f>
        <v>0</v>
      </c>
      <c r="Q98" s="9">
        <f t="shared" ref="Q98:Q108" si="10">IF(MAX(K98,L98,M98)=0,0,MAX(M98,ROUND(MAX(E98*K98,H98*L98)/5,0)*5))</f>
        <v>0</v>
      </c>
      <c r="R98" s="10">
        <f t="shared" ref="R98:R108" si="11">ROUND(IF(O98&lt;&gt;"",O98,N98),2)</f>
        <v>0</v>
      </c>
      <c r="S98" s="11" t="s">
        <v>46</v>
      </c>
    </row>
    <row r="99" spans="1:19" ht="28.5" x14ac:dyDescent="0.45">
      <c r="A99" s="4" t="s">
        <v>206</v>
      </c>
      <c r="B99" s="4" t="s">
        <v>186</v>
      </c>
      <c r="C99" s="4" t="s">
        <v>63</v>
      </c>
      <c r="D99" s="5" t="s">
        <v>64</v>
      </c>
      <c r="E99" s="6">
        <v>157.44000000000011</v>
      </c>
      <c r="F99" s="6">
        <v>2.0500000000000012</v>
      </c>
      <c r="G99" s="7" t="s">
        <v>36</v>
      </c>
      <c r="H99" s="8">
        <v>0</v>
      </c>
      <c r="I99" s="7" t="s">
        <v>65</v>
      </c>
      <c r="J99" s="8">
        <v>15</v>
      </c>
      <c r="K99" s="6">
        <v>1</v>
      </c>
      <c r="L99" s="6">
        <v>0</v>
      </c>
      <c r="M99" s="6">
        <v>15</v>
      </c>
      <c r="N99" s="6">
        <v>0</v>
      </c>
      <c r="O99" s="6"/>
      <c r="P99" s="9">
        <f t="shared" si="9"/>
        <v>1550</v>
      </c>
      <c r="Q99" s="9">
        <f t="shared" si="10"/>
        <v>155</v>
      </c>
      <c r="R99" s="10">
        <f t="shared" si="11"/>
        <v>0</v>
      </c>
      <c r="S99" s="11" t="s">
        <v>66</v>
      </c>
    </row>
    <row r="100" spans="1:19" ht="28.5" x14ac:dyDescent="0.45">
      <c r="A100" s="4" t="s">
        <v>207</v>
      </c>
      <c r="B100" s="4" t="s">
        <v>186</v>
      </c>
      <c r="C100" s="4" t="s">
        <v>68</v>
      </c>
      <c r="D100" s="5" t="s">
        <v>69</v>
      </c>
      <c r="E100" s="6">
        <v>99.84</v>
      </c>
      <c r="F100" s="6">
        <v>2.0500000000000012</v>
      </c>
      <c r="G100" s="7" t="s">
        <v>50</v>
      </c>
      <c r="H100" s="8">
        <v>0</v>
      </c>
      <c r="I100" s="7" t="s">
        <v>70</v>
      </c>
      <c r="J100" s="8">
        <v>25</v>
      </c>
      <c r="K100" s="6">
        <v>1.5</v>
      </c>
      <c r="L100" s="6">
        <v>0</v>
      </c>
      <c r="M100" s="6">
        <v>20</v>
      </c>
      <c r="N100" s="6">
        <v>0</v>
      </c>
      <c r="O100" s="6"/>
      <c r="P100" s="9">
        <f t="shared" si="9"/>
        <v>2500</v>
      </c>
      <c r="Q100" s="9">
        <f t="shared" si="10"/>
        <v>150</v>
      </c>
      <c r="R100" s="10">
        <f t="shared" si="11"/>
        <v>0</v>
      </c>
      <c r="S100" s="11" t="s">
        <v>71</v>
      </c>
    </row>
    <row r="101" spans="1:19" ht="28.5" x14ac:dyDescent="0.45">
      <c r="A101" s="4" t="s">
        <v>208</v>
      </c>
      <c r="B101" s="4" t="s">
        <v>186</v>
      </c>
      <c r="C101" s="4" t="s">
        <v>73</v>
      </c>
      <c r="D101" s="5" t="s">
        <v>69</v>
      </c>
      <c r="E101" s="6">
        <v>11.03999999999999</v>
      </c>
      <c r="F101" s="6">
        <v>2.0500000000000012</v>
      </c>
      <c r="G101" s="7" t="s">
        <v>50</v>
      </c>
      <c r="H101" s="8">
        <v>0</v>
      </c>
      <c r="I101" s="7" t="s">
        <v>70</v>
      </c>
      <c r="J101" s="8">
        <v>25</v>
      </c>
      <c r="K101" s="6">
        <v>1.5</v>
      </c>
      <c r="L101" s="6">
        <v>0</v>
      </c>
      <c r="M101" s="6">
        <v>20</v>
      </c>
      <c r="N101" s="6">
        <v>0</v>
      </c>
      <c r="O101" s="6"/>
      <c r="P101" s="9">
        <f t="shared" si="9"/>
        <v>300</v>
      </c>
      <c r="Q101" s="9">
        <f t="shared" si="10"/>
        <v>20</v>
      </c>
      <c r="R101" s="10">
        <f t="shared" si="11"/>
        <v>0</v>
      </c>
      <c r="S101" s="11" t="s">
        <v>71</v>
      </c>
    </row>
    <row r="102" spans="1:19" ht="28.5" x14ac:dyDescent="0.45">
      <c r="A102" s="4" t="s">
        <v>209</v>
      </c>
      <c r="B102" s="4" t="s">
        <v>186</v>
      </c>
      <c r="C102" s="4" t="s">
        <v>144</v>
      </c>
      <c r="D102" s="5" t="s">
        <v>145</v>
      </c>
      <c r="E102" s="6">
        <v>20.63999999999999</v>
      </c>
      <c r="F102" s="6">
        <v>2.0500000000000012</v>
      </c>
      <c r="G102" s="7" t="s">
        <v>50</v>
      </c>
      <c r="H102" s="8">
        <v>0</v>
      </c>
      <c r="I102" s="7" t="s">
        <v>146</v>
      </c>
      <c r="J102" s="8">
        <v>30</v>
      </c>
      <c r="K102" s="6">
        <v>4</v>
      </c>
      <c r="L102" s="6">
        <v>0</v>
      </c>
      <c r="M102" s="6">
        <v>40</v>
      </c>
      <c r="N102" s="6">
        <v>0.1</v>
      </c>
      <c r="O102" s="6"/>
      <c r="P102" s="9">
        <f t="shared" si="9"/>
        <v>600</v>
      </c>
      <c r="Q102" s="9">
        <f t="shared" si="10"/>
        <v>85</v>
      </c>
      <c r="R102" s="10">
        <f t="shared" si="11"/>
        <v>0.1</v>
      </c>
      <c r="S102" s="11" t="s">
        <v>147</v>
      </c>
    </row>
    <row r="103" spans="1:19" ht="28.5" x14ac:dyDescent="0.45">
      <c r="A103" s="4" t="s">
        <v>210</v>
      </c>
      <c r="B103" s="4" t="s">
        <v>186</v>
      </c>
      <c r="C103" s="4" t="s">
        <v>75</v>
      </c>
      <c r="D103" s="5" t="s">
        <v>76</v>
      </c>
      <c r="E103" s="6">
        <v>11.03999999999999</v>
      </c>
      <c r="F103" s="6">
        <v>2.0500000000000012</v>
      </c>
      <c r="G103" s="7" t="s">
        <v>50</v>
      </c>
      <c r="H103" s="8">
        <v>0</v>
      </c>
      <c r="I103" s="7" t="s">
        <v>77</v>
      </c>
      <c r="J103" s="8">
        <v>35</v>
      </c>
      <c r="K103" s="6">
        <v>8</v>
      </c>
      <c r="L103" s="6">
        <v>0</v>
      </c>
      <c r="M103" s="6">
        <v>60</v>
      </c>
      <c r="N103" s="6">
        <v>0.2</v>
      </c>
      <c r="O103" s="6"/>
      <c r="P103" s="9">
        <f t="shared" si="9"/>
        <v>400</v>
      </c>
      <c r="Q103" s="9">
        <f t="shared" si="10"/>
        <v>90</v>
      </c>
      <c r="R103" s="10">
        <f t="shared" si="11"/>
        <v>0.2</v>
      </c>
      <c r="S103" s="11" t="s">
        <v>78</v>
      </c>
    </row>
    <row r="104" spans="1:19" x14ac:dyDescent="0.45">
      <c r="A104" s="4" t="s">
        <v>211</v>
      </c>
      <c r="B104" s="4" t="s">
        <v>186</v>
      </c>
      <c r="C104" s="4" t="s">
        <v>80</v>
      </c>
      <c r="D104" s="5" t="s">
        <v>81</v>
      </c>
      <c r="E104" s="6">
        <v>5.8499999999999952</v>
      </c>
      <c r="F104" s="6">
        <v>2.0500000000000012</v>
      </c>
      <c r="G104" s="7" t="s">
        <v>44</v>
      </c>
      <c r="H104" s="8">
        <v>0</v>
      </c>
      <c r="I104" s="7" t="s">
        <v>82</v>
      </c>
      <c r="J104" s="8">
        <v>0</v>
      </c>
      <c r="K104" s="6">
        <v>0</v>
      </c>
      <c r="L104" s="6">
        <v>0</v>
      </c>
      <c r="M104" s="6">
        <v>0</v>
      </c>
      <c r="N104" s="6">
        <v>0</v>
      </c>
      <c r="O104" s="6"/>
      <c r="P104" s="9">
        <f t="shared" si="9"/>
        <v>0</v>
      </c>
      <c r="Q104" s="9">
        <f t="shared" si="10"/>
        <v>0</v>
      </c>
      <c r="R104" s="10">
        <f t="shared" si="11"/>
        <v>0</v>
      </c>
      <c r="S104" s="11" t="s">
        <v>46</v>
      </c>
    </row>
    <row r="105" spans="1:19" x14ac:dyDescent="0.45">
      <c r="A105" s="4" t="s">
        <v>212</v>
      </c>
      <c r="B105" s="4" t="s">
        <v>186</v>
      </c>
      <c r="C105" s="4" t="s">
        <v>84</v>
      </c>
      <c r="D105" s="5" t="s">
        <v>81</v>
      </c>
      <c r="E105" s="6">
        <v>13.44</v>
      </c>
      <c r="F105" s="6">
        <v>2.0500000000000012</v>
      </c>
      <c r="G105" s="7" t="s">
        <v>44</v>
      </c>
      <c r="H105" s="8">
        <v>0</v>
      </c>
      <c r="I105" s="7" t="s">
        <v>82</v>
      </c>
      <c r="J105" s="8">
        <v>0</v>
      </c>
      <c r="K105" s="6">
        <v>0</v>
      </c>
      <c r="L105" s="6">
        <v>0</v>
      </c>
      <c r="M105" s="6">
        <v>0</v>
      </c>
      <c r="N105" s="6">
        <v>0</v>
      </c>
      <c r="O105" s="6"/>
      <c r="P105" s="9">
        <f t="shared" si="9"/>
        <v>0</v>
      </c>
      <c r="Q105" s="9">
        <f t="shared" si="10"/>
        <v>0</v>
      </c>
      <c r="R105" s="10">
        <f t="shared" si="11"/>
        <v>0</v>
      </c>
      <c r="S105" s="11" t="s">
        <v>46</v>
      </c>
    </row>
    <row r="106" spans="1:19" x14ac:dyDescent="0.45">
      <c r="A106" s="4" t="s">
        <v>213</v>
      </c>
      <c r="B106" s="4" t="s">
        <v>186</v>
      </c>
      <c r="C106" s="4" t="s">
        <v>86</v>
      </c>
      <c r="D106" s="5" t="s">
        <v>81</v>
      </c>
      <c r="E106" s="6">
        <v>1.4400000000000031</v>
      </c>
      <c r="F106" s="6">
        <v>2.0500000000000012</v>
      </c>
      <c r="G106" s="7" t="s">
        <v>44</v>
      </c>
      <c r="H106" s="8">
        <v>0</v>
      </c>
      <c r="I106" s="7" t="s">
        <v>82</v>
      </c>
      <c r="J106" s="8">
        <v>0</v>
      </c>
      <c r="K106" s="6">
        <v>0</v>
      </c>
      <c r="L106" s="6">
        <v>0</v>
      </c>
      <c r="M106" s="6">
        <v>0</v>
      </c>
      <c r="N106" s="6">
        <v>0</v>
      </c>
      <c r="O106" s="6"/>
      <c r="P106" s="9">
        <f t="shared" si="9"/>
        <v>0</v>
      </c>
      <c r="Q106" s="9">
        <f t="shared" si="10"/>
        <v>0</v>
      </c>
      <c r="R106" s="10">
        <f t="shared" si="11"/>
        <v>0</v>
      </c>
      <c r="S106" s="11" t="s">
        <v>46</v>
      </c>
    </row>
    <row r="107" spans="1:19" x14ac:dyDescent="0.45">
      <c r="A107" s="4" t="s">
        <v>214</v>
      </c>
      <c r="B107" s="4" t="s">
        <v>186</v>
      </c>
      <c r="C107" s="4" t="s">
        <v>88</v>
      </c>
      <c r="D107" s="5" t="s">
        <v>81</v>
      </c>
      <c r="E107" s="6">
        <v>2.399999999999999</v>
      </c>
      <c r="F107" s="6">
        <v>2.0500000000000012</v>
      </c>
      <c r="G107" s="7" t="s">
        <v>44</v>
      </c>
      <c r="H107" s="8">
        <v>0</v>
      </c>
      <c r="I107" s="7" t="s">
        <v>82</v>
      </c>
      <c r="J107" s="8">
        <v>0</v>
      </c>
      <c r="K107" s="6">
        <v>0</v>
      </c>
      <c r="L107" s="6">
        <v>0</v>
      </c>
      <c r="M107" s="6">
        <v>0</v>
      </c>
      <c r="N107" s="6">
        <v>0</v>
      </c>
      <c r="O107" s="6"/>
      <c r="P107" s="9">
        <f t="shared" si="9"/>
        <v>0</v>
      </c>
      <c r="Q107" s="9">
        <f t="shared" si="10"/>
        <v>0</v>
      </c>
      <c r="R107" s="10">
        <f t="shared" si="11"/>
        <v>0</v>
      </c>
      <c r="S107" s="11" t="s">
        <v>46</v>
      </c>
    </row>
    <row r="108" spans="1:19" x14ac:dyDescent="0.45">
      <c r="A108" s="4" t="s">
        <v>215</v>
      </c>
      <c r="B108" s="4" t="s">
        <v>186</v>
      </c>
      <c r="C108" s="4" t="s">
        <v>90</v>
      </c>
      <c r="D108" s="5" t="s">
        <v>81</v>
      </c>
      <c r="E108" s="6">
        <v>6.2400000000000233</v>
      </c>
      <c r="F108" s="6">
        <v>2.0500000000000012</v>
      </c>
      <c r="G108" s="7" t="s">
        <v>44</v>
      </c>
      <c r="H108" s="8">
        <v>0</v>
      </c>
      <c r="I108" s="7" t="s">
        <v>82</v>
      </c>
      <c r="J108" s="8">
        <v>0</v>
      </c>
      <c r="K108" s="6">
        <v>0</v>
      </c>
      <c r="L108" s="6">
        <v>0</v>
      </c>
      <c r="M108" s="6">
        <v>0</v>
      </c>
      <c r="N108" s="6">
        <v>0</v>
      </c>
      <c r="O108" s="6"/>
      <c r="P108" s="9">
        <f t="shared" si="9"/>
        <v>0</v>
      </c>
      <c r="Q108" s="9">
        <f t="shared" si="10"/>
        <v>0</v>
      </c>
      <c r="R108" s="10">
        <f t="shared" si="11"/>
        <v>0</v>
      </c>
      <c r="S108" s="1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baseColWidth="10" defaultColWidth="9.06640625" defaultRowHeight="14.25" x14ac:dyDescent="0.45"/>
  <cols>
    <col min="1" max="1" width="18" customWidth="1"/>
    <col min="2" max="3" width="12" customWidth="1"/>
    <col min="4" max="4" width="14" customWidth="1"/>
    <col min="5" max="5" width="12" customWidth="1"/>
    <col min="6" max="6" width="14" customWidth="1"/>
    <col min="7" max="7" width="42" customWidth="1"/>
  </cols>
  <sheetData>
    <row r="1" spans="1:7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216</v>
      </c>
    </row>
    <row r="2" spans="1:7" x14ac:dyDescent="0.45">
      <c r="A2" t="s">
        <v>115</v>
      </c>
      <c r="B2" s="12">
        <v>50</v>
      </c>
      <c r="C2" s="12">
        <v>3.5</v>
      </c>
      <c r="D2" s="12">
        <v>36</v>
      </c>
      <c r="E2" s="12">
        <v>40</v>
      </c>
      <c r="F2" s="12">
        <v>0</v>
      </c>
      <c r="G2" t="s">
        <v>217</v>
      </c>
    </row>
    <row r="3" spans="1:7" x14ac:dyDescent="0.45">
      <c r="A3" t="s">
        <v>110</v>
      </c>
      <c r="B3" s="12">
        <v>50</v>
      </c>
      <c r="C3" s="12">
        <v>4</v>
      </c>
      <c r="D3" s="12">
        <v>36</v>
      </c>
      <c r="E3" s="12">
        <v>60</v>
      </c>
      <c r="F3" s="12">
        <v>0</v>
      </c>
      <c r="G3" t="s">
        <v>218</v>
      </c>
    </row>
    <row r="4" spans="1:7" x14ac:dyDescent="0.45">
      <c r="A4" t="s">
        <v>95</v>
      </c>
      <c r="B4" s="12">
        <v>55</v>
      </c>
      <c r="C4" s="12">
        <v>4.5</v>
      </c>
      <c r="D4" s="12">
        <v>40</v>
      </c>
      <c r="E4" s="12">
        <v>60</v>
      </c>
      <c r="F4" s="12">
        <v>0</v>
      </c>
      <c r="G4" t="s">
        <v>219</v>
      </c>
    </row>
    <row r="5" spans="1:7" x14ac:dyDescent="0.45">
      <c r="A5" t="s">
        <v>105</v>
      </c>
      <c r="B5" s="12">
        <v>65</v>
      </c>
      <c r="C5" s="12">
        <v>6</v>
      </c>
      <c r="D5" s="12">
        <v>50</v>
      </c>
      <c r="E5" s="12">
        <v>120</v>
      </c>
      <c r="F5" s="12">
        <v>0.05</v>
      </c>
      <c r="G5" t="s">
        <v>220</v>
      </c>
    </row>
    <row r="6" spans="1:7" x14ac:dyDescent="0.45">
      <c r="A6" t="s">
        <v>100</v>
      </c>
      <c r="B6" s="12">
        <v>60</v>
      </c>
      <c r="C6" s="12">
        <v>6.5</v>
      </c>
      <c r="D6" s="12">
        <v>20</v>
      </c>
      <c r="E6" s="12">
        <v>150</v>
      </c>
      <c r="F6" s="12">
        <v>0.12</v>
      </c>
      <c r="G6" t="s">
        <v>221</v>
      </c>
    </row>
    <row r="7" spans="1:7" x14ac:dyDescent="0.45">
      <c r="A7" t="s">
        <v>77</v>
      </c>
      <c r="B7" s="12">
        <v>35</v>
      </c>
      <c r="C7" s="12">
        <v>8</v>
      </c>
      <c r="D7" s="12">
        <v>0</v>
      </c>
      <c r="E7" s="12">
        <v>60</v>
      </c>
      <c r="F7" s="12">
        <v>0.2</v>
      </c>
      <c r="G7" t="s">
        <v>222</v>
      </c>
    </row>
    <row r="8" spans="1:7" x14ac:dyDescent="0.45">
      <c r="A8" t="s">
        <v>146</v>
      </c>
      <c r="B8" s="12">
        <v>30</v>
      </c>
      <c r="C8" s="12">
        <v>4</v>
      </c>
      <c r="D8" s="12">
        <v>0</v>
      </c>
      <c r="E8" s="12">
        <v>40</v>
      </c>
      <c r="F8" s="12">
        <v>0.1</v>
      </c>
      <c r="G8" t="s">
        <v>223</v>
      </c>
    </row>
    <row r="9" spans="1:7" x14ac:dyDescent="0.45">
      <c r="A9" t="s">
        <v>51</v>
      </c>
      <c r="B9" s="12">
        <v>45</v>
      </c>
      <c r="C9" s="12">
        <v>3</v>
      </c>
      <c r="D9" s="12">
        <v>20</v>
      </c>
      <c r="E9" s="12">
        <v>40</v>
      </c>
      <c r="F9" s="12">
        <v>0.05</v>
      </c>
      <c r="G9" t="s">
        <v>224</v>
      </c>
    </row>
    <row r="10" spans="1:7" x14ac:dyDescent="0.45">
      <c r="A10" t="s">
        <v>70</v>
      </c>
      <c r="B10" s="12">
        <v>25</v>
      </c>
      <c r="C10" s="12">
        <v>1.5</v>
      </c>
      <c r="D10" s="12">
        <v>0</v>
      </c>
      <c r="E10" s="12">
        <v>20</v>
      </c>
      <c r="F10" s="12">
        <v>0</v>
      </c>
      <c r="G10" t="s">
        <v>225</v>
      </c>
    </row>
    <row r="11" spans="1:7" x14ac:dyDescent="0.45">
      <c r="A11" t="s">
        <v>65</v>
      </c>
      <c r="B11" s="12">
        <v>15</v>
      </c>
      <c r="C11" s="12">
        <v>1</v>
      </c>
      <c r="D11" s="12">
        <v>0</v>
      </c>
      <c r="E11" s="12">
        <v>15</v>
      </c>
      <c r="F11" s="12">
        <v>0</v>
      </c>
      <c r="G11" t="s">
        <v>226</v>
      </c>
    </row>
    <row r="12" spans="1:7" x14ac:dyDescent="0.45">
      <c r="A12" t="s">
        <v>37</v>
      </c>
      <c r="B12" s="12">
        <v>20</v>
      </c>
      <c r="C12" s="12">
        <v>0.5</v>
      </c>
      <c r="D12" s="12">
        <v>0</v>
      </c>
      <c r="E12" s="12">
        <v>10</v>
      </c>
      <c r="F12" s="12">
        <v>0</v>
      </c>
      <c r="G12" t="s">
        <v>227</v>
      </c>
    </row>
    <row r="13" spans="1:7" x14ac:dyDescent="0.45">
      <c r="A13" t="s">
        <v>45</v>
      </c>
      <c r="B13" s="12">
        <v>10</v>
      </c>
      <c r="C13" s="12">
        <v>1.5</v>
      </c>
      <c r="D13" s="12">
        <v>0</v>
      </c>
      <c r="E13" s="12">
        <v>20</v>
      </c>
      <c r="F13" s="12">
        <v>0</v>
      </c>
      <c r="G13" t="s">
        <v>228</v>
      </c>
    </row>
    <row r="14" spans="1:7" x14ac:dyDescent="0.45">
      <c r="A14" t="s">
        <v>82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t="s">
        <v>229</v>
      </c>
    </row>
    <row r="15" spans="1:7" x14ac:dyDescent="0.45">
      <c r="A15" t="s">
        <v>61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Demands</vt:lpstr>
      <vt:lpstr>Rooms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Weiss Jonas Andri TA.DCS.2201</cp:lastModifiedBy>
  <dcterms:modified xsi:type="dcterms:W3CDTF">2026-05-08T09:05:11Z</dcterms:modified>
</cp:coreProperties>
</file>